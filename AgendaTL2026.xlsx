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dmin/Desktop/TourLatamLandingPage/"/>
    </mc:Choice>
  </mc:AlternateContent>
  <xr:revisionPtr revIDLastSave="0" documentId="8_{009A8992-9E16-3B48-9512-D594CC91DA56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Programa Oficial" sheetId="1" r:id="rId1"/>
    <sheet name="grillaA" sheetId="2" state="hidden" r:id="rId2"/>
  </sheets>
  <definedNames>
    <definedName name="_xlnm._FilterDatabase" localSheetId="0" hidden="1">'Programa Oficial'!$A$2:$H$18</definedName>
    <definedName name="speakers">grillaA!$A$1:$I$17</definedName>
    <definedName name="speakers26">'Programa Oficial'!$A$2:$H$18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G10" i="2" s="1"/>
  <c r="F11" i="2" s="1"/>
  <c r="G11" i="2" s="1"/>
  <c r="F12" i="2" s="1"/>
  <c r="G12" i="2" s="1"/>
  <c r="F13" i="2" s="1"/>
  <c r="G13" i="2" s="1"/>
  <c r="F14" i="2" s="1"/>
  <c r="G14" i="2" s="1"/>
  <c r="F15" i="2" s="1"/>
  <c r="G15" i="2" s="1"/>
  <c r="A10" i="2"/>
  <c r="B10" i="2" s="1"/>
  <c r="A11" i="2" s="1"/>
  <c r="B11" i="2" s="1"/>
  <c r="A12" i="2" s="1"/>
  <c r="B12" i="2" s="1"/>
  <c r="A13" i="2" s="1"/>
  <c r="B13" i="2" s="1"/>
  <c r="A14" i="2" s="1"/>
  <c r="B14" i="2" s="1"/>
  <c r="A15" i="2" s="1"/>
  <c r="B15" i="2" s="1"/>
  <c r="G3" i="2"/>
  <c r="F4" i="2" s="1"/>
  <c r="G4" i="2" s="1"/>
  <c r="F5" i="2" s="1"/>
  <c r="G5" i="2" s="1"/>
  <c r="F6" i="2" s="1"/>
  <c r="G6" i="2" s="1"/>
  <c r="F7" i="2" s="1"/>
  <c r="G7" i="2" s="1"/>
  <c r="F8" i="2" s="1"/>
  <c r="G8" i="2" s="1"/>
  <c r="F9" i="2" s="1"/>
  <c r="B2" i="2"/>
  <c r="A11" i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B3" i="1"/>
  <c r="A4" i="1" l="1"/>
  <c r="B4" i="1" s="1"/>
  <c r="A5" i="1" s="1"/>
  <c r="B5" i="1" s="1"/>
  <c r="A6" i="1" s="1"/>
  <c r="B6" i="1" s="1"/>
  <c r="A7" i="1" s="1"/>
  <c r="B7" i="1" s="1"/>
  <c r="A8" i="1" s="1"/>
  <c r="B8" i="1" s="1"/>
  <c r="A9" i="1" s="1"/>
  <c r="B9" i="1" s="1"/>
  <c r="A10" i="1" s="1"/>
  <c r="A3" i="2"/>
  <c r="B3" i="2" s="1"/>
  <c r="A4" i="2" l="1"/>
  <c r="B4" i="2" l="1"/>
  <c r="A5" i="2" l="1"/>
  <c r="B5" i="2" l="1"/>
  <c r="A6" i="2" l="1"/>
  <c r="B6" i="2" l="1"/>
  <c r="A7" i="2" l="1"/>
  <c r="B7" i="2" l="1"/>
  <c r="A8" i="2" l="1"/>
  <c r="B8" i="2" s="1"/>
  <c r="A9" i="2" s="1"/>
  <c r="D26" i="2"/>
  <c r="D28" i="2" l="1"/>
  <c r="D21" i="2"/>
  <c r="D20" i="2"/>
  <c r="D22" i="2"/>
  <c r="D25" i="2"/>
  <c r="D30" i="2"/>
  <c r="D23" i="2"/>
  <c r="D31" i="2"/>
  <c r="D29" i="2"/>
  <c r="D19" i="2"/>
  <c r="D24" i="2" l="1"/>
  <c r="D32" i="2"/>
</calcChain>
</file>

<file path=xl/sharedStrings.xml><?xml version="1.0" encoding="utf-8"?>
<sst xmlns="http://schemas.openxmlformats.org/spreadsheetml/2006/main" count="147" uniqueCount="120">
  <si>
    <t>Dia 20</t>
  </si>
  <si>
    <t>PROGRAMA PARA EL TOURLATAM BOLIVIA 2026: DÍA 20 DE NOVIEMBRE</t>
  </si>
  <si>
    <t>Canal A</t>
  </si>
  <si>
    <t>PROGRAMA PARA EL TOURLATAM BOLIVIA 2026: DÍA 21 DE NOVIEMBRE</t>
  </si>
  <si>
    <t>Canal B</t>
  </si>
  <si>
    <t>Dia 21</t>
  </si>
  <si>
    <t>GMT-4</t>
  </si>
  <si>
    <t>Inauguración (ambos canales)</t>
  </si>
  <si>
    <r>
      <rPr>
        <b/>
        <sz val="9"/>
        <color theme="1"/>
        <rFont val="Arial"/>
        <family val="2"/>
      </rPr>
      <t>Keynote de apertura: Anabel Domínguez (España)</t>
    </r>
    <r>
      <rPr>
        <sz val="9"/>
        <color theme="1"/>
        <rFont val="Arial"/>
        <family val="2"/>
      </rPr>
      <t xml:space="preserve">
«De Project Manager técnico a Project Manager directivo»
/IN4/PA/MC/</t>
    </r>
  </si>
  <si>
    <r>
      <rPr>
        <b/>
        <sz val="9"/>
        <color theme="1"/>
        <rFont val="Arial"/>
        <family val="2"/>
      </rPr>
      <t>Keynote de apertura: Fabian Schwartz (Alemania)</t>
    </r>
    <r>
      <rPr>
        <sz val="9"/>
        <color theme="1"/>
        <rFont val="Arial"/>
        <family val="2"/>
      </rPr>
      <t xml:space="preserve">
«Agilidad + IA para una transformación inteligente»
 /IN4/PA/MC/</t>
    </r>
  </si>
  <si>
    <r>
      <rPr>
        <b/>
        <sz val="11"/>
        <color theme="1"/>
        <rFont val="Arial"/>
        <family val="2"/>
      </rPr>
      <t>Keynote de apertura: Anabel Domínguez (España)</t>
    </r>
    <r>
      <rPr>
        <sz val="11"/>
        <color theme="1"/>
        <rFont val="Arial"/>
        <family val="2"/>
      </rPr>
      <t xml:space="preserve">
«De Project Manager técnico a Project Manager directivo»
/IN4/PA/MC/</t>
    </r>
  </si>
  <si>
    <t>Nov.21
[08:30-09:10]</t>
  </si>
  <si>
    <r>
      <rPr>
        <b/>
        <sz val="11"/>
        <color theme="1"/>
        <rFont val="Arial"/>
        <family val="2"/>
      </rPr>
      <t>Keynote de apertura: Fabian Schwartz (Alemania)</t>
    </r>
    <r>
      <rPr>
        <sz val="11"/>
        <color theme="1"/>
        <rFont val="Arial"/>
        <family val="2"/>
      </rPr>
      <t xml:space="preserve">
«Agilidad + IA para una transformación inteligente»
 /IN4/PA/MC/</t>
    </r>
  </si>
  <si>
    <r>
      <rPr>
        <b/>
        <sz val="9"/>
        <color theme="1"/>
        <rFont val="Arial"/>
        <family val="2"/>
      </rPr>
      <t>Dr. Tony Prensa (EE. UU.)</t>
    </r>
    <r>
      <rPr>
        <sz val="9"/>
        <color theme="1"/>
        <rFont val="Arial"/>
        <family val="2"/>
      </rPr>
      <t xml:space="preserve">
«PMOVA: Una arquitectura para agregar valor empresarial»
/IN3/PA/MC/</t>
    </r>
  </si>
  <si>
    <r>
      <rPr>
        <b/>
        <sz val="9"/>
        <color theme="1"/>
        <rFont val="Arial"/>
        <family val="2"/>
      </rPr>
      <t>Luz Alicia Acevedo Avila (Perú)</t>
    </r>
    <r>
      <rPr>
        <sz val="9"/>
        <color theme="1"/>
        <rFont val="Arial"/>
        <family val="2"/>
      </rPr>
      <t xml:space="preserve">
«De Project Manager a AI Project Leader: cómo los agentes de IA están transformando la gestión de proyectos»
/IN3/PB/MC/</t>
    </r>
  </si>
  <si>
    <r>
      <rPr>
        <b/>
        <sz val="9"/>
        <color theme="1"/>
        <rFont val="Arial"/>
        <family val="2"/>
      </rPr>
      <t>Sergio Candelo (Argentina)</t>
    </r>
    <r>
      <rPr>
        <sz val="9"/>
        <color theme="1"/>
        <rFont val="Arial"/>
        <family val="2"/>
      </rPr>
      <t xml:space="preserve">
«Super PMs. Liderar con Alma en la era de la incertidumbre»
/IN2/PE/MC/</t>
    </r>
  </si>
  <si>
    <r>
      <rPr>
        <b/>
        <sz val="9"/>
        <color theme="1"/>
        <rFont val="Arial"/>
        <family val="2"/>
      </rPr>
      <t>Ariel Rizzi &amp; Emilse Kasem (Argentina)</t>
    </r>
    <r>
      <rPr>
        <sz val="9"/>
        <color theme="1"/>
        <rFont val="Arial"/>
        <family val="2"/>
      </rPr>
      <t xml:space="preserve">
«De la Legacy PMO a la SMART-IA PMO»
/IN3/PB/MC/</t>
    </r>
  </si>
  <si>
    <r>
      <rPr>
        <b/>
        <sz val="9"/>
        <color theme="1"/>
        <rFont val="Arial"/>
        <family val="2"/>
      </rPr>
      <t>Eddi Rodas (Perú)</t>
    </r>
    <r>
      <rPr>
        <sz val="9"/>
        <color theme="1"/>
        <rFont val="Arial"/>
        <family val="2"/>
      </rPr>
      <t xml:space="preserve">
«PMO Inteligente: una PMO impulsada humanos y agentes IA»
/IN3/PD/MC/</t>
    </r>
  </si>
  <si>
    <r>
      <rPr>
        <b/>
        <sz val="9"/>
        <color theme="1"/>
        <rFont val="Arial"/>
        <family val="2"/>
      </rPr>
      <t>Alexander Páez (Paraguay)</t>
    </r>
    <r>
      <rPr>
        <sz val="9"/>
        <color theme="1"/>
        <rFont val="Arial"/>
        <family val="2"/>
      </rPr>
      <t xml:space="preserve">
«La inteligencia de lo vivo: gobernanza EIRA para proyectos regenerativos con inteligencia artificial»
/IN3/PB/MC/</t>
    </r>
  </si>
  <si>
    <r>
      <rPr>
        <b/>
        <sz val="11"/>
        <color theme="1"/>
        <rFont val="Arial"/>
        <family val="2"/>
      </rPr>
      <t>Dr. Tony Prensa (EE. UU.)</t>
    </r>
    <r>
      <rPr>
        <sz val="11"/>
        <color theme="1"/>
        <rFont val="Arial"/>
        <family val="2"/>
      </rPr>
      <t xml:space="preserve">
«PMOVA: Una arquitectura para agregar valor empresarial»
/IN3/PA/MC/</t>
    </r>
  </si>
  <si>
    <r>
      <rPr>
        <b/>
        <sz val="9"/>
        <color theme="1"/>
        <rFont val="Arial"/>
        <family val="2"/>
      </rPr>
      <t>Gabriela Gutiérrez (EE. UU.)</t>
    </r>
    <r>
      <rPr>
        <sz val="9"/>
        <color theme="1"/>
        <rFont val="Arial"/>
        <family val="2"/>
      </rPr>
      <t xml:space="preserve">
«Liderazgo para Elevar la Gestión de Involucrados»
/IN3/PC/MC/</t>
    </r>
  </si>
  <si>
    <r>
      <rPr>
        <b/>
        <sz val="11"/>
        <color theme="1"/>
        <rFont val="Arial"/>
        <family val="2"/>
      </rPr>
      <t>Luz Alicia Acevedo Avila (Perú)</t>
    </r>
    <r>
      <rPr>
        <sz val="11"/>
        <color theme="1"/>
        <rFont val="Arial"/>
        <family val="2"/>
      </rPr>
      <t xml:space="preserve">
«De Project Manager a AI Project Leader: cómo los agentes de IA están transformando la gestión de proyectos»
/IN3/PB/MC/</t>
    </r>
  </si>
  <si>
    <t>Nov.21
[09:20-10:00]</t>
  </si>
  <si>
    <r>
      <rPr>
        <b/>
        <sz val="11"/>
        <color theme="1"/>
        <rFont val="Arial"/>
        <family val="2"/>
      </rPr>
      <t>Sergio Candelo (Argentina)</t>
    </r>
    <r>
      <rPr>
        <sz val="11"/>
        <color theme="1"/>
        <rFont val="Arial"/>
        <family val="2"/>
      </rPr>
      <t xml:space="preserve">
«Super PMs. Liderar con Alma en la era de la incertidumbre»
/IN2/PE/MC/</t>
    </r>
  </si>
  <si>
    <r>
      <rPr>
        <b/>
        <sz val="11"/>
        <color theme="1"/>
        <rFont val="Arial"/>
        <family val="2"/>
      </rPr>
      <t>Ariel Rizzi &amp; Emilse Kasem (Argentina)</t>
    </r>
    <r>
      <rPr>
        <sz val="11"/>
        <color theme="1"/>
        <rFont val="Arial"/>
        <family val="2"/>
      </rPr>
      <t xml:space="preserve">
«De la Legacy PMO a la SMART-IA PMO»
/IN3/PB/MC/</t>
    </r>
  </si>
  <si>
    <t>break</t>
  </si>
  <si>
    <r>
      <rPr>
        <b/>
        <sz val="9"/>
        <color theme="1"/>
        <rFont val="Arial"/>
        <family val="2"/>
      </rPr>
      <t>Carolina Herrera Solera (Colombia)</t>
    </r>
    <r>
      <rPr>
        <sz val="9"/>
        <color theme="1"/>
        <rFont val="Arial"/>
        <family val="2"/>
      </rPr>
      <t xml:space="preserve">
«De la IA al valor: decisiones, pilotos y escalamiento responsable en proyectos»
/IN2/PB/MC/</t>
    </r>
  </si>
  <si>
    <r>
      <rPr>
        <b/>
        <sz val="9"/>
        <color theme="1"/>
        <rFont val="Arial"/>
        <family val="2"/>
      </rPr>
      <t>Rómulo Lomparte (Perú)</t>
    </r>
    <r>
      <rPr>
        <sz val="9"/>
        <color theme="1"/>
        <rFont val="Arial"/>
        <family val="2"/>
      </rPr>
      <t xml:space="preserve">
«La importancia de empezar a gestionar el flujo de información»
/IN2/PE/MC/</t>
    </r>
  </si>
  <si>
    <r>
      <rPr>
        <b/>
        <sz val="11"/>
        <color theme="1"/>
        <rFont val="Arial"/>
        <family val="2"/>
      </rPr>
      <t>Eddi Rodas (Perú)</t>
    </r>
    <r>
      <rPr>
        <sz val="11"/>
        <color theme="1"/>
        <rFont val="Arial"/>
        <family val="2"/>
      </rPr>
      <t xml:space="preserve">
«PMO Inteligente: una PMO impulsada humanos y agentes IA»
/IN3/PD/MC/</t>
    </r>
  </si>
  <si>
    <r>
      <rPr>
        <b/>
        <sz val="9"/>
        <color theme="1"/>
        <rFont val="Arial"/>
        <family val="2"/>
      </rPr>
      <t>Ingrid Lucía Muñoz Periñán (Colombia)</t>
    </r>
    <r>
      <rPr>
        <sz val="9"/>
        <color theme="1"/>
        <rFont val="Arial"/>
        <family val="2"/>
      </rPr>
      <t xml:space="preserve">
«Tu organización es el cliente. Diseñando una PMO a la medida, potenciada con IA»
/IN3/PD/MC/</t>
    </r>
  </si>
  <si>
    <r>
      <rPr>
        <b/>
        <sz val="11"/>
        <color theme="1"/>
        <rFont val="Arial"/>
        <family val="2"/>
      </rPr>
      <t>Alexander Páez (Paraguay)</t>
    </r>
    <r>
      <rPr>
        <sz val="11"/>
        <color theme="1"/>
        <rFont val="Arial"/>
        <family val="2"/>
      </rPr>
      <t xml:space="preserve">
«La inteligencia de lo vivo: gobernanza EIRA para proyectos regenerativos con inteligencia artificial»
/IN3/PB/MC/</t>
    </r>
  </si>
  <si>
    <r>
      <rPr>
        <b/>
        <sz val="9"/>
        <color theme="1"/>
        <rFont val="Arial"/>
        <family val="2"/>
      </rPr>
      <t>Shogun Shimose (Bolivia)</t>
    </r>
    <r>
      <rPr>
        <sz val="9"/>
        <color theme="1"/>
        <rFont val="Arial"/>
        <family val="2"/>
      </rPr>
      <t xml:space="preserve">
«PMO 4.0 &amp; Resiliencia Económica: Rediseñando la Gestión de Proyectos en Bolivia hacia la Eficiencia, Adaptabilidad y Generación de Valor»
/NN3/PA/MC/</t>
    </r>
  </si>
  <si>
    <t>Nov.21
[10:10-10:50]</t>
  </si>
  <si>
    <t>B – Habilidades poderosas</t>
  </si>
  <si>
    <r>
      <rPr>
        <b/>
        <sz val="11"/>
        <color theme="1"/>
        <rFont val="Arial"/>
        <family val="2"/>
      </rPr>
      <t>Irina Valdez (México)</t>
    </r>
    <r>
      <rPr>
        <sz val="11"/>
        <color theme="1"/>
        <rFont val="Arial"/>
        <family val="2"/>
      </rPr>
      <t xml:space="preserve">
«La IA promete valor. La ejecución lo demuestra.»
/IN3/PA/MX/</t>
    </r>
  </si>
  <si>
    <r>
      <rPr>
        <b/>
        <sz val="11"/>
        <color theme="1"/>
        <rFont val="Arial"/>
        <family val="2"/>
      </rPr>
      <t>Gabriela Gutiérrez (EE. UU.)</t>
    </r>
    <r>
      <rPr>
        <sz val="11"/>
        <color theme="1"/>
        <rFont val="Arial"/>
        <family val="2"/>
      </rPr>
      <t xml:space="preserve">
«Liderazgo para Elevar la Gestión de Involucrados»
/IN3/PC/MC/</t>
    </r>
  </si>
  <si>
    <r>
      <rPr>
        <b/>
        <sz val="9"/>
        <color theme="1"/>
        <rFont val="Arial"/>
        <family val="2"/>
      </rPr>
      <t>Gustavo Conejo (Costa Rica)</t>
    </r>
    <r>
      <rPr>
        <sz val="9"/>
        <color theme="1"/>
        <rFont val="Arial"/>
        <family val="2"/>
      </rPr>
      <t xml:space="preserve">
«Business Acumen en la Gestión de Proyectos: de gestionar proyectos a generar valor estratégico»
/IN2/PA/MC/</t>
    </r>
  </si>
  <si>
    <r>
      <rPr>
        <b/>
        <sz val="9"/>
        <color theme="1"/>
        <rFont val="Arial"/>
        <family val="2"/>
      </rPr>
      <t>Noel Rodríguez (Nicaragua, N2, B)</t>
    </r>
    <r>
      <rPr>
        <sz val="9"/>
        <color theme="1"/>
        <rFont val="Arial"/>
        <family val="2"/>
      </rPr>
      <t xml:space="preserve">
«Proyectos que no olvidan: gestión viva del contexto con OKF, RAG y Git»
/IN2/PB/MC/</t>
    </r>
  </si>
  <si>
    <r>
      <rPr>
        <b/>
        <sz val="9"/>
        <color theme="1"/>
        <rFont val="Arial"/>
        <family val="2"/>
      </rPr>
      <t>Carlos Daniel Briceño Burgos (Perú)</t>
    </r>
    <r>
      <rPr>
        <sz val="9"/>
        <color theme="1"/>
        <rFont val="Arial"/>
        <family val="2"/>
      </rPr>
      <t xml:space="preserve">
«MAPA: de la Estructura del Desglose del Trabajo a la Estructura del Desglose del Valor»
/IN2/PA/MC/</t>
    </r>
  </si>
  <si>
    <r>
      <rPr>
        <b/>
        <sz val="9"/>
        <color theme="1"/>
        <rFont val="Arial"/>
        <family val="2"/>
      </rPr>
      <t>Tanyshka Lewis (EE. UU.)</t>
    </r>
    <r>
      <rPr>
        <sz val="9"/>
        <color theme="1"/>
        <rFont val="Arial"/>
        <family val="2"/>
      </rPr>
      <t xml:space="preserve">
«La Ciencia de los lideres que Transforman Proyecto»
/IN2/PC/MC/</t>
    </r>
  </si>
  <si>
    <t>almuerzo</t>
  </si>
  <si>
    <t>BREAK</t>
  </si>
  <si>
    <r>
      <rPr>
        <b/>
        <sz val="9"/>
        <color theme="1"/>
        <rFont val="Arial"/>
        <family val="2"/>
      </rPr>
      <t>Keynote de reapertura: Yaravi Cardoze (Panamá)</t>
    </r>
    <r>
      <rPr>
        <sz val="9"/>
        <color theme="1"/>
        <rFont val="Arial"/>
        <family val="2"/>
      </rPr>
      <t xml:space="preserve">
«Guías tácticas para implementación de IA agéntica en las organizaciones»
/IN4/PA/MC/</t>
    </r>
  </si>
  <si>
    <r>
      <rPr>
        <b/>
        <sz val="11"/>
        <color theme="1"/>
        <rFont val="Arial"/>
        <family val="2"/>
      </rPr>
      <t>Enrique Aparicio (Bolivia)</t>
    </r>
    <r>
      <rPr>
        <sz val="11"/>
        <color theme="1"/>
        <rFont val="Arial"/>
        <family val="2"/>
      </rPr>
      <t xml:space="preserve">
«¿De dónde saldrá el próximo Project Manager senior? Rediseñando la carrera y el criterio experto frente a la IA agéntica»
/NN3/PA/MC/M4/</t>
    </r>
  </si>
  <si>
    <r>
      <rPr>
        <b/>
        <sz val="11"/>
        <color theme="1"/>
        <rFont val="Arial"/>
        <family val="2"/>
      </rPr>
      <t>Rómulo Lomparte (Perú)</t>
    </r>
    <r>
      <rPr>
        <sz val="11"/>
        <color theme="1"/>
        <rFont val="Arial"/>
        <family val="2"/>
      </rPr>
      <t xml:space="preserve">
«La importancia de empezar a gestionar el flujo de información»
/IN2/PE/MC/M4/</t>
    </r>
  </si>
  <si>
    <t>Nov.21
[11:00-11:40]</t>
  </si>
  <si>
    <r>
      <rPr>
        <b/>
        <sz val="11"/>
        <color theme="1"/>
        <rFont val="Arial"/>
        <family val="2"/>
      </rPr>
      <t>Ingrid Lucía Muñoz Periñán (Colombia)</t>
    </r>
    <r>
      <rPr>
        <sz val="11"/>
        <color theme="1"/>
        <rFont val="Arial"/>
        <family val="2"/>
      </rPr>
      <t xml:space="preserve">
«Tu organización es el cliente. Diseñando una PMO a la medida, potenciada con IA»
/IN3/PD/MC/M4/</t>
    </r>
  </si>
  <si>
    <r>
      <rPr>
        <b/>
        <sz val="11"/>
        <color theme="1"/>
        <rFont val="Arial"/>
        <family val="2"/>
      </rPr>
      <t>Shogun Shimose (Bolivia)</t>
    </r>
    <r>
      <rPr>
        <sz val="11"/>
        <color theme="1"/>
        <rFont val="Arial"/>
        <family val="2"/>
      </rPr>
      <t xml:space="preserve">
«PMO 4.0 &amp; Resiliencia Económica: Rediseñando la Gestión de Proyectos en Bolivia hacia la Eficiencia, Adaptabilidad y Generación de Valor»
/NN3/PA/MC/M4/</t>
    </r>
  </si>
  <si>
    <r>
      <rPr>
        <b/>
        <sz val="9"/>
        <color theme="1"/>
        <rFont val="Arial"/>
        <family val="2"/>
      </rPr>
      <t xml:space="preserve">Keynote de reapertura: Luis Guardado (El Salvador, N4)
</t>
    </r>
    <r>
      <rPr>
        <sz val="9"/>
        <color theme="1"/>
        <rFont val="Arial"/>
        <family val="2"/>
      </rPr>
      <t>titulo
/IN4/PA/MC/</t>
    </r>
  </si>
  <si>
    <r>
      <rPr>
        <b/>
        <sz val="11"/>
        <color theme="1"/>
        <rFont val="Arial"/>
        <family val="2"/>
      </rPr>
      <t>Gustavo Conejo (Costa Rica)</t>
    </r>
    <r>
      <rPr>
        <sz val="11"/>
        <color theme="1"/>
        <rFont val="Arial"/>
        <family val="2"/>
      </rPr>
      <t xml:space="preserve">
«Business Acumen en la Gestión de Proyectos: de gestionar proyectos a generar valor estratégico»
/IN2/PA/MC/M4/</t>
    </r>
  </si>
  <si>
    <r>
      <rPr>
        <b/>
        <sz val="9"/>
        <color theme="1"/>
        <rFont val="Arial"/>
        <family val="2"/>
      </rPr>
      <t>Daniel Bustos Valdivieso (Bolivia)</t>
    </r>
    <r>
      <rPr>
        <sz val="9"/>
        <color theme="1"/>
        <rFont val="Arial"/>
        <family val="2"/>
      </rPr>
      <t xml:space="preserve">
«Nadie adopta una PMO por decreto: por qué mueren las PMO y cómo la transformación organizacional las hace sostenibles»
/NN3/PD/MC/</t>
    </r>
  </si>
  <si>
    <r>
      <rPr>
        <b/>
        <sz val="11"/>
        <color theme="1"/>
        <rFont val="Arial"/>
        <family val="2"/>
      </rPr>
      <t>Noel Rodríguez (Nicaragua, N2, B)</t>
    </r>
    <r>
      <rPr>
        <sz val="11"/>
        <color theme="1"/>
        <rFont val="Arial"/>
        <family val="2"/>
      </rPr>
      <t xml:space="preserve">
«Proyectos que no olvidan: gestión viva del contexto con OKF, RAG y Git»
/IN2/PB/MC/M4/</t>
    </r>
  </si>
  <si>
    <r>
      <rPr>
        <b/>
        <sz val="9"/>
        <color theme="1"/>
        <rFont val="Arial"/>
        <family val="2"/>
      </rPr>
      <t>José Reyes Asto (Perú)</t>
    </r>
    <r>
      <rPr>
        <sz val="9"/>
        <color theme="1"/>
        <rFont val="Arial"/>
        <family val="2"/>
      </rPr>
      <t xml:space="preserve">
«Tiempo, costo y flujo: BIM 4D/5D, Lean e Inteligencia Artificial en la dirección de proyectos»
/IN3/PB/MC/</t>
    </r>
  </si>
  <si>
    <t>Nov.21
[11:50-12:30]</t>
  </si>
  <si>
    <r>
      <rPr>
        <b/>
        <sz val="11"/>
        <color theme="1"/>
        <rFont val="Arial"/>
        <family val="2"/>
      </rPr>
      <t>Carlos Daniel Briceño Burgos (Perú)</t>
    </r>
    <r>
      <rPr>
        <sz val="11"/>
        <color theme="1"/>
        <rFont val="Arial"/>
        <family val="2"/>
      </rPr>
      <t xml:space="preserve">
«MAPA: de la Estructura del Desglose del Trabajo a la Estructura del Desglose del Valor»
/IN2/PA/MC/M4/</t>
    </r>
  </si>
  <si>
    <r>
      <rPr>
        <b/>
        <sz val="11"/>
        <color theme="1"/>
        <rFont val="Arial"/>
        <family val="2"/>
      </rPr>
      <t>Tanyshka Lewis (EE. UU.)</t>
    </r>
    <r>
      <rPr>
        <sz val="11"/>
        <color theme="1"/>
        <rFont val="Arial"/>
        <family val="2"/>
      </rPr>
      <t xml:space="preserve">
«La Ciencia de los lideres que Transforman Proyecto»
/IN2/PC/MC/M4/</t>
    </r>
  </si>
  <si>
    <r>
      <rPr>
        <b/>
        <sz val="9"/>
        <color theme="1"/>
        <rFont val="Arial"/>
        <family val="2"/>
      </rPr>
      <t>Nelia María Ponte Vieira (Venezuela)</t>
    </r>
    <r>
      <rPr>
        <sz val="9"/>
        <color theme="1"/>
        <rFont val="Arial"/>
        <family val="2"/>
      </rPr>
      <t xml:space="preserve">
el Diamante PONTE para liderar proyectos que crean valor.
/IN2/PA/MC/</t>
    </r>
  </si>
  <si>
    <r>
      <rPr>
        <b/>
        <sz val="9"/>
        <color theme="1"/>
        <rFont val="Arial"/>
        <family val="2"/>
      </rPr>
      <t xml:space="preserve">Stalin Rivas (Rep. Dominicana)
</t>
    </r>
    <r>
      <rPr>
        <sz val="9"/>
        <color theme="1"/>
        <rFont val="Arial"/>
        <family val="2"/>
      </rPr>
      <t>«De asistentes a agentes: Transformando la dirección de proyectos mediante IA Agéntica»
/IN2/PB/MC/</t>
    </r>
  </si>
  <si>
    <r>
      <rPr>
        <b/>
        <sz val="9"/>
        <color theme="1"/>
        <rFont val="Arial"/>
        <family val="2"/>
      </rPr>
      <t>Marco Antonio Arellano Hervoso (Bolivia)</t>
    </r>
    <r>
      <rPr>
        <sz val="9"/>
        <color theme="1"/>
        <rFont val="Arial"/>
        <family val="2"/>
      </rPr>
      <t xml:space="preserve">
«De la idea al valor: Gestión continua de valor y velocidad organizacional para maximizar los resultados empresariales»
/NN3/PD/MC/</t>
    </r>
  </si>
  <si>
    <r>
      <rPr>
        <b/>
        <sz val="9"/>
        <color theme="1"/>
        <rFont val="Arial"/>
        <family val="2"/>
      </rPr>
      <t>Mónica Delsouc (Argentina)</t>
    </r>
    <r>
      <rPr>
        <sz val="9"/>
        <color theme="1"/>
        <rFont val="Arial"/>
        <family val="2"/>
      </rPr>
      <t xml:space="preserve">
«PIBPGPM Programa Internacional de buenas prácticas en Gestión de Proyectos Mineros»
/IN2/PA/MC/</t>
    </r>
  </si>
  <si>
    <t>ALMUERZO</t>
  </si>
  <si>
    <r>
      <rPr>
        <b/>
        <sz val="9"/>
        <color theme="1"/>
        <rFont val="Arial"/>
        <family val="2"/>
      </rPr>
      <t>Steeven Apaza (Perú)</t>
    </r>
    <r>
      <rPr>
        <sz val="9"/>
        <color theme="1"/>
        <rFont val="Arial"/>
        <family val="2"/>
      </rPr>
      <t xml:space="preserve">
«Liderando proyectos complejos desde el calor humano en la era de los datos. EQ + IA = New PM»
/IN3/PD/MC/</t>
    </r>
  </si>
  <si>
    <r>
      <rPr>
        <b/>
        <sz val="9"/>
        <color theme="1"/>
        <rFont val="Arial"/>
        <family val="2"/>
      </rPr>
      <t>René Neira Marín (Chile)</t>
    </r>
    <r>
      <rPr>
        <sz val="9"/>
        <color theme="1"/>
        <rFont val="Arial"/>
        <family val="2"/>
      </rPr>
      <t xml:space="preserve">
«Inteligencia Artificial para la Planificación y el Control de Proyectos»
/IN2/PB/MC/</t>
    </r>
  </si>
  <si>
    <r>
      <rPr>
        <b/>
        <sz val="11"/>
        <color theme="1"/>
        <rFont val="Arial"/>
        <family val="2"/>
      </rPr>
      <t>Keynote de reapertura: Yaravi Cardoze (Panamá)</t>
    </r>
    <r>
      <rPr>
        <sz val="11"/>
        <color theme="1"/>
        <rFont val="Arial"/>
        <family val="2"/>
      </rPr>
      <t xml:space="preserve">
«Guías tácticas para implementación de IA agéntica en las organizaciones»
/IN4/PA/MC/</t>
    </r>
  </si>
  <si>
    <t>Nov.21
[14:00-14:40]</t>
  </si>
  <si>
    <r>
      <rPr>
        <b/>
        <sz val="11"/>
        <color theme="1"/>
        <rFont val="Arial"/>
        <family val="2"/>
      </rPr>
      <t xml:space="preserve">Keynote de reapertura: Luis Guardado (El Salvador, N4)
</t>
    </r>
    <r>
      <rPr>
        <sz val="11"/>
        <color theme="1"/>
        <rFont val="Arial"/>
        <family val="2"/>
      </rPr>
      <t>titulo
/IN4/PA/MC/</t>
    </r>
  </si>
  <si>
    <r>
      <rPr>
        <b/>
        <sz val="9"/>
        <color theme="1"/>
        <rFont val="Arial"/>
        <family val="2"/>
      </rPr>
      <t>Luis Alberto Gutierrez Gutierrez (EE. UU.)</t>
    </r>
    <r>
      <rPr>
        <sz val="9"/>
        <color theme="1"/>
        <rFont val="Arial"/>
        <family val="2"/>
      </rPr>
      <t xml:space="preserve">
«De la estrategia a los resultados: cómo decidir qué iniciativas empezar, escalar o detener»
 /IN2/PA/MC/</t>
    </r>
  </si>
  <si>
    <r>
      <rPr>
        <b/>
        <sz val="9"/>
        <color theme="1"/>
        <rFont val="Arial"/>
        <family val="2"/>
      </rPr>
      <t>Jonatan Octavio Fierro Sáez (Chile)</t>
    </r>
    <r>
      <rPr>
        <sz val="9"/>
        <color theme="1"/>
        <rFont val="Arial"/>
        <family val="2"/>
      </rPr>
      <t xml:space="preserve">
«Gobernanza de IA en la dirección de proyectos: decidir antes de usar, validar antes de decidir»
/IN2/PB/MC/</t>
    </r>
  </si>
  <si>
    <r>
      <rPr>
        <b/>
        <sz val="11"/>
        <color theme="1"/>
        <rFont val="Arial"/>
        <family val="2"/>
      </rPr>
      <t>Jorge Valdés Garciatorres (México)</t>
    </r>
    <r>
      <rPr>
        <sz val="11"/>
        <color theme="1"/>
        <rFont val="Arial"/>
        <family val="2"/>
      </rPr>
      <t xml:space="preserve">
«Sin Cambio no hay paraíso»
/IN2/PA/MC/M4/</t>
    </r>
  </si>
  <si>
    <r>
      <rPr>
        <b/>
        <sz val="11"/>
        <color theme="1"/>
        <rFont val="Arial"/>
        <family val="2"/>
      </rPr>
      <t>Carolina Herrera Solera (Colombia)</t>
    </r>
    <r>
      <rPr>
        <sz val="11"/>
        <color theme="1"/>
        <rFont val="Arial"/>
        <family val="2"/>
      </rPr>
      <t xml:space="preserve">
«De la IA al valor: decisiones, pilotos y escalamiento responsable en proyectos»
/IN2/PB/MC/M4/</t>
    </r>
  </si>
  <si>
    <r>
      <rPr>
        <b/>
        <sz val="9"/>
        <color theme="1"/>
        <rFont val="Arial"/>
        <family val="2"/>
      </rPr>
      <t>Iván José Mendoza Moya (Bolivia)</t>
    </r>
    <r>
      <rPr>
        <sz val="9"/>
        <color theme="1"/>
        <rFont val="Arial"/>
        <family val="2"/>
      </rPr>
      <t xml:space="preserve">
«Caos, incertidumbre y decisiones: el costo que ningún informe registra»
/NN2/PA/MC/</t>
    </r>
  </si>
  <si>
    <r>
      <rPr>
        <b/>
        <sz val="9"/>
        <color theme="1"/>
        <rFont val="Arial"/>
        <family val="2"/>
      </rPr>
      <t>Manuel Benítez Codas (Paraguay)</t>
    </r>
    <r>
      <rPr>
        <sz val="9"/>
        <color theme="1"/>
        <rFont val="Arial"/>
        <family val="2"/>
      </rPr>
      <t xml:space="preserve">
«IAG más allá de la herramienta»
/IN2/PB/MC/</t>
    </r>
  </si>
  <si>
    <t>Nov.21
[12:40-13:20]</t>
  </si>
  <si>
    <r>
      <rPr>
        <b/>
        <sz val="11"/>
        <color theme="1"/>
        <rFont val="Arial"/>
        <family val="2"/>
      </rPr>
      <t>Nelia María Ponte Vieira (Venezuela)</t>
    </r>
    <r>
      <rPr>
        <sz val="11"/>
        <color theme="1"/>
        <rFont val="Arial"/>
        <family val="2"/>
      </rPr>
      <t xml:space="preserve">
el Diamante PONTE para liderar proyectos que crean valor.
/IN2/PA/MC/M4/</t>
    </r>
  </si>
  <si>
    <r>
      <rPr>
        <b/>
        <sz val="11"/>
        <color theme="1"/>
        <rFont val="Arial"/>
        <family val="2"/>
      </rPr>
      <t xml:space="preserve">Stalin Rivas (Rep. Dominicana)
</t>
    </r>
    <r>
      <rPr>
        <sz val="11"/>
        <color theme="1"/>
        <rFont val="Arial"/>
        <family val="2"/>
      </rPr>
      <t>«De asistentes a agentes: Transformando la dirección de proyectos mediante IA Agéntica»
/IN2/PB/MC/M4/</t>
    </r>
  </si>
  <si>
    <r>
      <rPr>
        <b/>
        <sz val="9"/>
        <color theme="1"/>
        <rFont val="Arial"/>
        <family val="2"/>
      </rPr>
      <t>Carlos Javier Ruiz Zapata (Bolivia)</t>
    </r>
    <r>
      <rPr>
        <sz val="9"/>
        <color theme="1"/>
        <rFont val="Arial"/>
        <family val="2"/>
      </rPr>
      <t xml:space="preserve">
«La PMO del Futuro: Cuando la Estrategia se come a la Cultura para el Almuerzo»
/NN2/PD/MC/PO/</t>
    </r>
  </si>
  <si>
    <r>
      <rPr>
        <b/>
        <sz val="9"/>
        <color theme="1"/>
        <rFont val="Arial"/>
        <family val="2"/>
      </rPr>
      <t>Carlos Schellenberg (Uruguay)</t>
    </r>
    <r>
      <rPr>
        <sz val="9"/>
        <color theme="1"/>
        <rFont val="Arial"/>
        <family val="2"/>
      </rPr>
      <t xml:space="preserve">
«Cuando el proyecto es la IA: cómo gestionar proyectos de inteligencia artificial con el nuevo estándar de PMI y la metodología CPMAI»
/IN2/PB/MC/</t>
    </r>
  </si>
  <si>
    <t>A – Maneras de trabajar</t>
  </si>
  <si>
    <t>Cierre oficial (QR de evaluación CSAT/NPS y corte de transmisión)</t>
  </si>
  <si>
    <t>B – IA aplicada a la Gestión y Dirección de Proyectos</t>
  </si>
  <si>
    <r>
      <rPr>
        <b/>
        <sz val="11"/>
        <color theme="1"/>
        <rFont val="Arial"/>
        <family val="2"/>
      </rPr>
      <t>Daniel Bustos Valdivieso (Bolivia)</t>
    </r>
    <r>
      <rPr>
        <sz val="11"/>
        <color theme="1"/>
        <rFont val="Arial"/>
        <family val="2"/>
      </rPr>
      <t xml:space="preserve">
«Nadie adopta una PMO por decreto: por qué mueren las PMO y cómo la transformación organizacional las hace sostenibles»
/NN3/PD/MC/M4/</t>
    </r>
  </si>
  <si>
    <r>
      <rPr>
        <b/>
        <sz val="11"/>
        <color theme="1"/>
        <rFont val="Arial"/>
        <family val="2"/>
      </rPr>
      <t>José Reyes Asto (Perú)</t>
    </r>
    <r>
      <rPr>
        <sz val="11"/>
        <color theme="1"/>
        <rFont val="Arial"/>
        <family val="2"/>
      </rPr>
      <t xml:space="preserve">
«Tiempo, costo y flujo: BIM 4D/5D, Lean e Inteligencia Artificial en la dirección de proyectos»
/IN3/PB/MC/M4/</t>
    </r>
  </si>
  <si>
    <t>Nov.21
[14:50-15:30]</t>
  </si>
  <si>
    <r>
      <rPr>
        <b/>
        <sz val="11"/>
        <color theme="1"/>
        <rFont val="Arial"/>
        <family val="2"/>
      </rPr>
      <t>Steeven Apaza (Perú)</t>
    </r>
    <r>
      <rPr>
        <sz val="11"/>
        <color theme="1"/>
        <rFont val="Arial"/>
        <family val="2"/>
      </rPr>
      <t xml:space="preserve">
«Liderando proyectos complejos desde el calor humano en la era de los datos. EQ + IA = New PM»
/IN3/PD/MC/M4/</t>
    </r>
  </si>
  <si>
    <r>
      <rPr>
        <b/>
        <sz val="11"/>
        <color theme="1"/>
        <rFont val="Arial"/>
        <family val="2"/>
      </rPr>
      <t>Santiago Armas (Ecuador)</t>
    </r>
    <r>
      <rPr>
        <sz val="11"/>
        <color theme="1"/>
        <rFont val="Arial"/>
        <family val="2"/>
      </rPr>
      <t xml:space="preserve">
«BIM 4D y Digital Twin: Integrando Planificación, Construcción y Control»
/IN3/PB/MC/M4/</t>
    </r>
  </si>
  <si>
    <t>PILAR</t>
  </si>
  <si>
    <t>A – Creación de Valor y Estrategia</t>
  </si>
  <si>
    <t>C – Liderazgo, Negociación e Innovación</t>
  </si>
  <si>
    <r>
      <rPr>
        <b/>
        <sz val="11"/>
        <color theme="1"/>
        <rFont val="Arial"/>
        <family val="2"/>
      </rPr>
      <t>Marco Antonio Arellano Hervoso (Bolivia)</t>
    </r>
    <r>
      <rPr>
        <sz val="11"/>
        <color theme="1"/>
        <rFont val="Arial"/>
        <family val="2"/>
      </rPr>
      <t xml:space="preserve">
«De la idea al valor: Gestión continua de valor y velocidad organizacional para maximizar los resultados empresariales»
/NN3/PD/MC/M4/</t>
    </r>
  </si>
  <si>
    <r>
      <rPr>
        <b/>
        <sz val="11"/>
        <color theme="1"/>
        <rFont val="Arial"/>
        <family val="2"/>
      </rPr>
      <t>Mónica Delsouc (Argentina)</t>
    </r>
    <r>
      <rPr>
        <sz val="11"/>
        <color theme="1"/>
        <rFont val="Arial"/>
        <family val="2"/>
      </rPr>
      <t xml:space="preserve">
«PIBPGPM Programa Internacional de buenas prácticas en Gestión de Proyectos Mineros»
/IN2/PA/MC/M4/</t>
    </r>
  </si>
  <si>
    <t>Nov.21
[15:40-16:20]</t>
  </si>
  <si>
    <t>D – PMO Gobernanza, Agile, Flywheel y Transformación Organizacional</t>
  </si>
  <si>
    <r>
      <rPr>
        <b/>
        <sz val="11"/>
        <color theme="1"/>
        <rFont val="Arial"/>
        <family val="2"/>
      </rPr>
      <t>Nathalie Fuentes Altez (Chile)</t>
    </r>
    <r>
      <rPr>
        <sz val="11"/>
        <color theme="1"/>
        <rFont val="Arial"/>
        <family val="2"/>
      </rPr>
      <t xml:space="preserve">
«PMO Consciente 2.0: Neurociencia, power skills y el efecto flywheel en la transformación organizacional»
/IN2/PD/MC/M4/</t>
    </r>
  </si>
  <si>
    <r>
      <rPr>
        <b/>
        <sz val="11"/>
        <color theme="1"/>
        <rFont val="Arial"/>
        <family val="2"/>
      </rPr>
      <t>René Neira Marín (Chile)</t>
    </r>
    <r>
      <rPr>
        <sz val="11"/>
        <color theme="1"/>
        <rFont val="Arial"/>
        <family val="2"/>
      </rPr>
      <t xml:space="preserve">
«Inteligencia Artificial para la Planificación y el Control de Proyectos»
/IN2/PB/MC/M4/</t>
    </r>
  </si>
  <si>
    <t>E – Excelencia en la Ejecución y Gestión del Desempeño)</t>
  </si>
  <si>
    <r>
      <rPr>
        <b/>
        <sz val="11"/>
        <color theme="1"/>
        <rFont val="Arial"/>
        <family val="2"/>
      </rPr>
      <t>Luis Alberto Gutierrez Gutierrez (EE. UU.)</t>
    </r>
    <r>
      <rPr>
        <sz val="11"/>
        <color theme="1"/>
        <rFont val="Arial"/>
        <family val="2"/>
      </rPr>
      <t xml:space="preserve">
«De la estrategia a los resultados: cómo decidir qué iniciativas empezar, escalar o detener»
 /IN2/PA/MC/M4/</t>
    </r>
  </si>
  <si>
    <r>
      <rPr>
        <b/>
        <sz val="11"/>
        <color theme="1"/>
        <rFont val="Arial"/>
        <family val="2"/>
      </rPr>
      <t>Jonatan Octavio Fierro Sáez (Chile)</t>
    </r>
    <r>
      <rPr>
        <sz val="11"/>
        <color theme="1"/>
        <rFont val="Arial"/>
        <family val="2"/>
      </rPr>
      <t xml:space="preserve">
«Gobernanza de IA en la dirección de proyectos: decidir antes de usar, validar antes de decidir»
/IN2/PB/MC/M4/</t>
    </r>
  </si>
  <si>
    <t>Confirmados</t>
  </si>
  <si>
    <t>Nov.21
[16:30-17:10]</t>
  </si>
  <si>
    <r>
      <rPr>
        <b/>
        <sz val="11"/>
        <color theme="1"/>
        <rFont val="Arial"/>
        <family val="2"/>
      </rPr>
      <t>Carlos Humberto Gómez (Colombia)</t>
    </r>
    <r>
      <rPr>
        <sz val="11"/>
        <color theme="1"/>
        <rFont val="Arial"/>
        <family val="2"/>
      </rPr>
      <t xml:space="preserve">
«Gobernanza de proyectos en grupos corporativos»
/IN2/PD/MC/M4/</t>
    </r>
  </si>
  <si>
    <r>
      <rPr>
        <b/>
        <sz val="11"/>
        <color theme="1"/>
        <rFont val="Arial"/>
        <family val="2"/>
      </rPr>
      <t>Antonio Maturano Huerta (Mexico)</t>
    </r>
    <r>
      <rPr>
        <sz val="11"/>
        <color theme="1"/>
        <rFont val="Arial"/>
        <family val="2"/>
      </rPr>
      <t xml:space="preserve">
«Innovar sin caos: cómo crear seguridad psicológica para que las ideas prosperen»
/IN2/PB/</t>
    </r>
  </si>
  <si>
    <r>
      <rPr>
        <b/>
        <sz val="11"/>
        <color theme="1"/>
        <rFont val="Arial"/>
        <family val="2"/>
      </rPr>
      <t>Carlos Javier Ruiz Zapata (Bolivia)</t>
    </r>
    <r>
      <rPr>
        <sz val="11"/>
        <color theme="1"/>
        <rFont val="Arial"/>
        <family val="2"/>
      </rPr>
      <t xml:space="preserve">
«La PMO del Futuro: Cuando la Estrategia se come a la Cultura para el Almuerzo»
/NN2/PD/MC/PPT/M4/</t>
    </r>
  </si>
  <si>
    <r>
      <rPr>
        <b/>
        <sz val="11"/>
        <color theme="1"/>
        <rFont val="Arial"/>
        <family val="2"/>
      </rPr>
      <t>Carlos Schellenberg (Uruguay)</t>
    </r>
    <r>
      <rPr>
        <sz val="11"/>
        <color theme="1"/>
        <rFont val="Arial"/>
        <family val="2"/>
      </rPr>
      <t xml:space="preserve">
«Cuando el proyecto es la IA: cómo gestionar proyectos de inteligencia artificial con el nuevo estándar de PMI y la metodología CPMAI»
/IN2/PB/MC/M4/</t>
    </r>
  </si>
  <si>
    <t>Nov.21
[17:20-18:00]</t>
  </si>
  <si>
    <r>
      <rPr>
        <b/>
        <sz val="11"/>
        <color theme="1"/>
        <rFont val="Arial"/>
        <family val="2"/>
      </rPr>
      <t>Iván José Mendoza Moya (Bolivia)</t>
    </r>
    <r>
      <rPr>
        <sz val="11"/>
        <color theme="1"/>
        <rFont val="Arial"/>
        <family val="2"/>
      </rPr>
      <t xml:space="preserve">
«Caos, incertidumbre y decisiones: el costo que ningún informe registra»
/NN2/PA/MC/M4/</t>
    </r>
  </si>
  <si>
    <r>
      <rPr>
        <b/>
        <sz val="11"/>
        <color theme="1"/>
        <rFont val="Arial"/>
        <family val="2"/>
      </rPr>
      <t>Manuel Benítez Codas (Paraguay)</t>
    </r>
    <r>
      <rPr>
        <sz val="11"/>
        <color theme="1"/>
        <rFont val="Arial"/>
        <family val="2"/>
      </rPr>
      <t xml:space="preserve">
«IAG más allá de la herramienta»
/IN2/PB/MC/M4/</t>
    </r>
  </si>
  <si>
    <t>Ponencias recibidas</t>
  </si>
  <si>
    <r>
      <rPr>
        <b/>
        <sz val="11"/>
        <color theme="1"/>
        <rFont val="Arial"/>
        <family val="2"/>
      </rPr>
      <t>Oscar Siles Chavez (Bolivia)</t>
    </r>
    <r>
      <rPr>
        <sz val="11"/>
        <color theme="1"/>
        <rFont val="Arial"/>
        <family val="2"/>
      </rPr>
      <t xml:space="preserve">
De la Ingeligencia Artificial: Una nueva Generacion de Modelos para evaluar la viabilidad tecnico/economica
/NN2/PB/</t>
    </r>
  </si>
  <si>
    <r>
      <rPr>
        <b/>
        <sz val="11"/>
        <color theme="1"/>
        <rFont val="Arial"/>
        <family val="2"/>
      </rPr>
      <t>Sergio Reynaldo Alcázar Antequera (Bolivia)</t>
    </r>
    <r>
      <rPr>
        <sz val="11"/>
        <color theme="1"/>
        <rFont val="Arial"/>
        <family val="2"/>
      </rPr>
      <t xml:space="preserve">
«La segunda generación de IA en gestión de proyectos: auditar, reconstruir, documentar»
/NN2/PB/MC/M4/</t>
    </r>
  </si>
  <si>
    <t>Nov.21
[18:00-18:10]</t>
  </si>
  <si>
    <t>Keynote</t>
  </si>
  <si>
    <t>Internacional 3</t>
  </si>
  <si>
    <t>Internacional 2</t>
  </si>
  <si>
    <t>Nacional 3 2</t>
  </si>
  <si>
    <t>TRIÁNGULO DEL TALENTO</t>
  </si>
  <si>
    <t>C – Perspicacia en los negocios</t>
  </si>
  <si>
    <t>Inicio del 2do dia (ambos Canales)</t>
  </si>
  <si>
    <t>Hora Inicio</t>
  </si>
  <si>
    <t>Hora Fin</t>
  </si>
  <si>
    <t xml:space="preserve">Cierre oficial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</si>
</sst>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h:mm"/>
  </numFmts>
  <fonts count="17" x14ac:knownFonts="1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4A86E8"/>
      </left>
      <right/>
      <top style="thin">
        <color rgb="FF4A86E8"/>
      </top>
      <bottom style="thin">
        <color rgb="FF4A86E8"/>
      </bottom>
      <diagonal/>
    </border>
    <border>
      <left/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0" fillId="4" borderId="0" xfId="0" applyFont="1" applyFill="1"/>
    <xf numFmtId="0" fontId="9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9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original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8"/>
  <sheetViews>
    <sheetView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9" sqref="G19"/>
    </sheetView>
  </sheetViews>
  <sheetFormatPr baseColWidth="10" defaultColWidth="12.6640625" defaultRowHeight="15.75" customHeight="1" x14ac:dyDescent="0.15"/>
  <cols>
    <col min="1" max="1" width="5.1640625" customWidth="1"/>
    <col min="2" max="2" width="6.5" customWidth="1"/>
    <col min="3" max="4" width="42.33203125" customWidth="1"/>
    <col min="5" max="5" width="2.33203125" customWidth="1"/>
    <col min="6" max="6" width="11.1640625" hidden="1" customWidth="1"/>
    <col min="7" max="8" width="42.33203125" customWidth="1"/>
  </cols>
  <sheetData>
    <row r="1" spans="1:8" ht="15.75" customHeight="1" x14ac:dyDescent="0.15">
      <c r="A1" s="1"/>
      <c r="B1" s="1"/>
      <c r="C1" s="58" t="s">
        <v>1</v>
      </c>
      <c r="D1" s="58"/>
      <c r="E1" s="2"/>
      <c r="F1" s="1"/>
      <c r="G1" s="48" t="s">
        <v>3</v>
      </c>
      <c r="H1" s="49"/>
    </row>
    <row r="2" spans="1:8" ht="31" customHeight="1" x14ac:dyDescent="0.15">
      <c r="A2" s="57" t="s">
        <v>117</v>
      </c>
      <c r="B2" s="57" t="s">
        <v>118</v>
      </c>
      <c r="C2" s="5" t="s">
        <v>2</v>
      </c>
      <c r="D2" s="5" t="s">
        <v>4</v>
      </c>
      <c r="E2" s="2"/>
      <c r="F2" s="5" t="s">
        <v>6</v>
      </c>
      <c r="G2" s="5" t="s">
        <v>2</v>
      </c>
      <c r="H2" s="5" t="s">
        <v>4</v>
      </c>
    </row>
    <row r="3" spans="1:8" ht="24" customHeight="1" x14ac:dyDescent="0.15">
      <c r="A3" s="7">
        <v>0.34722222222222221</v>
      </c>
      <c r="B3" s="7">
        <f>A3+"00:10"</f>
        <v>0.35416666666666663</v>
      </c>
      <c r="C3" s="47" t="s">
        <v>7</v>
      </c>
      <c r="D3" s="46"/>
      <c r="E3" s="10"/>
      <c r="F3" s="11"/>
      <c r="G3" s="47" t="s">
        <v>116</v>
      </c>
      <c r="H3" s="46"/>
    </row>
    <row r="4" spans="1:8" ht="58" customHeight="1" x14ac:dyDescent="0.15">
      <c r="A4" s="7">
        <f>B3</f>
        <v>0.35416666666666663</v>
      </c>
      <c r="B4" s="7">
        <f>A4+"00:40"</f>
        <v>0.38194444444444442</v>
      </c>
      <c r="C4" s="45" t="s">
        <v>10</v>
      </c>
      <c r="D4" s="46"/>
      <c r="E4" s="12"/>
      <c r="F4" s="8" t="s">
        <v>11</v>
      </c>
      <c r="G4" s="45" t="s">
        <v>12</v>
      </c>
      <c r="H4" s="46"/>
    </row>
    <row r="5" spans="1:8" ht="71" customHeight="1" x14ac:dyDescent="0.15">
      <c r="A5" s="7">
        <f>B4+"00:10"</f>
        <v>0.38888888888888884</v>
      </c>
      <c r="B5" s="7">
        <f>A5+"00:40"</f>
        <v>0.41666666666666663</v>
      </c>
      <c r="C5" s="15" t="s">
        <v>19</v>
      </c>
      <c r="D5" s="15" t="s">
        <v>21</v>
      </c>
      <c r="E5" s="12"/>
      <c r="F5" s="8" t="s">
        <v>22</v>
      </c>
      <c r="G5" s="15" t="s">
        <v>23</v>
      </c>
      <c r="H5" s="15" t="s">
        <v>24</v>
      </c>
    </row>
    <row r="6" spans="1:8" ht="71" customHeight="1" x14ac:dyDescent="0.15">
      <c r="A6" s="7">
        <f>B5+"00:10"</f>
        <v>0.42361111111111105</v>
      </c>
      <c r="B6" s="7">
        <f>A6+"00:40"</f>
        <v>0.45138888888888884</v>
      </c>
      <c r="C6" s="15" t="s">
        <v>28</v>
      </c>
      <c r="D6" s="15" t="s">
        <v>30</v>
      </c>
      <c r="E6" s="12"/>
      <c r="F6" s="8" t="s">
        <v>32</v>
      </c>
      <c r="G6" s="15" t="s">
        <v>34</v>
      </c>
      <c r="H6" s="15" t="s">
        <v>35</v>
      </c>
    </row>
    <row r="7" spans="1:8" ht="15.75" customHeight="1" x14ac:dyDescent="0.15">
      <c r="A7" s="19">
        <f>B6</f>
        <v>0.45138888888888884</v>
      </c>
      <c r="B7" s="19">
        <f>A7+"00:20"</f>
        <v>0.46527777777777773</v>
      </c>
      <c r="C7" s="21" t="s">
        <v>41</v>
      </c>
      <c r="D7" s="21" t="s">
        <v>41</v>
      </c>
      <c r="E7" s="12"/>
      <c r="F7" s="20"/>
      <c r="G7" s="21" t="s">
        <v>41</v>
      </c>
      <c r="H7" s="21" t="s">
        <v>41</v>
      </c>
    </row>
    <row r="8" spans="1:8" ht="71" customHeight="1" x14ac:dyDescent="0.15">
      <c r="A8" s="7">
        <f>B7</f>
        <v>0.46527777777777773</v>
      </c>
      <c r="B8" s="7">
        <f>A8+"00:40"</f>
        <v>0.49305555555555552</v>
      </c>
      <c r="C8" s="15" t="s">
        <v>43</v>
      </c>
      <c r="D8" s="15" t="s">
        <v>44</v>
      </c>
      <c r="E8" s="12"/>
      <c r="F8" s="8" t="s">
        <v>45</v>
      </c>
      <c r="G8" s="15" t="s">
        <v>46</v>
      </c>
      <c r="H8" s="15" t="s">
        <v>47</v>
      </c>
    </row>
    <row r="9" spans="1:8" ht="71" customHeight="1" x14ac:dyDescent="0.15">
      <c r="A9" s="7">
        <f>B8+"00:10"</f>
        <v>0.49999999999999994</v>
      </c>
      <c r="B9" s="7">
        <f>A9+"00:40"</f>
        <v>0.52777777777777768</v>
      </c>
      <c r="C9" s="15" t="s">
        <v>49</v>
      </c>
      <c r="D9" s="15" t="s">
        <v>51</v>
      </c>
      <c r="E9" s="12"/>
      <c r="F9" s="8" t="s">
        <v>53</v>
      </c>
      <c r="G9" s="15" t="s">
        <v>54</v>
      </c>
      <c r="H9" s="15" t="s">
        <v>55</v>
      </c>
    </row>
    <row r="10" spans="1:8" ht="15.75" customHeight="1" x14ac:dyDescent="0.15">
      <c r="A10" s="19">
        <f>B9</f>
        <v>0.52777777777777768</v>
      </c>
      <c r="B10" s="19">
        <v>0.58333333333333337</v>
      </c>
      <c r="C10" s="21" t="s">
        <v>60</v>
      </c>
      <c r="D10" s="21" t="s">
        <v>60</v>
      </c>
      <c r="E10" s="12"/>
      <c r="F10" s="20"/>
      <c r="G10" s="21" t="s">
        <v>60</v>
      </c>
      <c r="H10" s="21" t="s">
        <v>60</v>
      </c>
    </row>
    <row r="11" spans="1:8" ht="71" customHeight="1" x14ac:dyDescent="0.15">
      <c r="A11" s="7">
        <f>B10</f>
        <v>0.58333333333333337</v>
      </c>
      <c r="B11" s="7">
        <f>A11+"00:40"</f>
        <v>0.61111111111111116</v>
      </c>
      <c r="C11" s="45" t="s">
        <v>63</v>
      </c>
      <c r="D11" s="46"/>
      <c r="E11" s="12"/>
      <c r="F11" s="8" t="s">
        <v>64</v>
      </c>
      <c r="G11" s="45" t="s">
        <v>65</v>
      </c>
      <c r="H11" s="46"/>
    </row>
    <row r="12" spans="1:8" ht="71" customHeight="1" x14ac:dyDescent="0.15">
      <c r="A12" s="7">
        <f>B11+"00:10"</f>
        <v>0.61805555555555558</v>
      </c>
      <c r="B12" s="7">
        <f>A12+"00:40"</f>
        <v>0.64583333333333337</v>
      </c>
      <c r="C12" s="15" t="s">
        <v>68</v>
      </c>
      <c r="D12" s="15" t="s">
        <v>69</v>
      </c>
      <c r="E12" s="12"/>
      <c r="F12" s="8" t="s">
        <v>72</v>
      </c>
      <c r="G12" s="15" t="s">
        <v>73</v>
      </c>
      <c r="H12" s="15" t="s">
        <v>74</v>
      </c>
    </row>
    <row r="13" spans="1:8" ht="71" customHeight="1" x14ac:dyDescent="0.15">
      <c r="A13" s="7">
        <f>B12+"00:10"</f>
        <v>0.65277777777777779</v>
      </c>
      <c r="B13" s="7">
        <f>A13+"00:40"</f>
        <v>0.68055555555555558</v>
      </c>
      <c r="C13" s="15" t="s">
        <v>80</v>
      </c>
      <c r="D13" s="15" t="s">
        <v>81</v>
      </c>
      <c r="E13" s="12"/>
      <c r="F13" s="8" t="s">
        <v>82</v>
      </c>
      <c r="G13" s="15" t="s">
        <v>83</v>
      </c>
      <c r="H13" s="15" t="s">
        <v>84</v>
      </c>
    </row>
    <row r="14" spans="1:8" ht="15.75" customHeight="1" x14ac:dyDescent="0.15">
      <c r="A14" s="19">
        <f>B13</f>
        <v>0.68055555555555558</v>
      </c>
      <c r="B14" s="19">
        <f>A14+"00:20"</f>
        <v>0.69444444444444442</v>
      </c>
      <c r="C14" s="21" t="s">
        <v>41</v>
      </c>
      <c r="D14" s="21" t="s">
        <v>41</v>
      </c>
      <c r="E14" s="12"/>
      <c r="F14" s="20"/>
      <c r="G14" s="21" t="s">
        <v>41</v>
      </c>
      <c r="H14" s="21" t="s">
        <v>41</v>
      </c>
    </row>
    <row r="15" spans="1:8" ht="71" customHeight="1" x14ac:dyDescent="0.15">
      <c r="A15" s="7">
        <f>B14</f>
        <v>0.69444444444444442</v>
      </c>
      <c r="B15" s="7">
        <f>A15+"00:40"</f>
        <v>0.72222222222222221</v>
      </c>
      <c r="C15" s="15" t="s">
        <v>88</v>
      </c>
      <c r="D15" s="15" t="s">
        <v>89</v>
      </c>
      <c r="E15" s="12"/>
      <c r="F15" s="8" t="s">
        <v>90</v>
      </c>
      <c r="G15" s="15" t="s">
        <v>92</v>
      </c>
      <c r="H15" s="15" t="s">
        <v>93</v>
      </c>
    </row>
    <row r="16" spans="1:8" ht="71" customHeight="1" x14ac:dyDescent="0.15">
      <c r="A16" s="7">
        <f>B15+"00:10"</f>
        <v>0.72916666666666663</v>
      </c>
      <c r="B16" s="7">
        <f>A16+"00:40"</f>
        <v>0.75694444444444442</v>
      </c>
      <c r="C16" s="15" t="s">
        <v>95</v>
      </c>
      <c r="D16" s="15" t="s">
        <v>96</v>
      </c>
      <c r="E16" s="12"/>
      <c r="F16" s="28" t="s">
        <v>98</v>
      </c>
      <c r="G16" s="15" t="s">
        <v>99</v>
      </c>
      <c r="H16" s="15" t="s">
        <v>100</v>
      </c>
    </row>
    <row r="17" spans="1:8" ht="71" customHeight="1" x14ac:dyDescent="0.15">
      <c r="A17" s="7">
        <f>B16+"00:10"</f>
        <v>0.76388888888888884</v>
      </c>
      <c r="B17" s="7">
        <f>A17+"00:40"</f>
        <v>0.79166666666666663</v>
      </c>
      <c r="C17" s="15" t="s">
        <v>101</v>
      </c>
      <c r="D17" s="15" t="s">
        <v>102</v>
      </c>
      <c r="E17" s="12"/>
      <c r="F17" s="8" t="s">
        <v>103</v>
      </c>
      <c r="G17" s="15" t="s">
        <v>104</v>
      </c>
      <c r="H17" s="15" t="s">
        <v>105</v>
      </c>
    </row>
    <row r="18" spans="1:8" ht="71" customHeight="1" x14ac:dyDescent="0.15">
      <c r="A18" s="7">
        <f>B17+"00:10"</f>
        <v>0.79861111111111105</v>
      </c>
      <c r="B18" s="7">
        <f>A18+"00:40"</f>
        <v>0.82638888888888884</v>
      </c>
      <c r="C18" s="15" t="s">
        <v>107</v>
      </c>
      <c r="D18" s="15" t="s">
        <v>108</v>
      </c>
      <c r="E18" s="12"/>
      <c r="F18" s="8" t="s">
        <v>109</v>
      </c>
      <c r="G18" s="47" t="s">
        <v>119</v>
      </c>
      <c r="H18" s="46"/>
    </row>
    <row r="19" spans="1:8" ht="15.75" customHeight="1" x14ac:dyDescent="0.15">
      <c r="A19" s="31"/>
      <c r="B19" s="31"/>
      <c r="C19" s="25"/>
      <c r="D19" s="32"/>
      <c r="E19" s="33"/>
      <c r="F19" s="32"/>
      <c r="G19" s="32"/>
      <c r="H19" s="32"/>
    </row>
    <row r="20" spans="1:8" ht="15.75" customHeight="1" x14ac:dyDescent="0.15">
      <c r="A20" s="31"/>
      <c r="B20" s="31"/>
      <c r="C20" s="25"/>
      <c r="D20" s="32"/>
      <c r="E20" s="33"/>
      <c r="F20" s="32"/>
      <c r="G20" s="34"/>
      <c r="H20" s="32"/>
    </row>
    <row r="21" spans="1:8" ht="15.75" customHeight="1" x14ac:dyDescent="0.15">
      <c r="A21" s="31"/>
      <c r="B21" s="31"/>
      <c r="C21" s="35"/>
      <c r="D21" s="36"/>
      <c r="E21" s="37"/>
      <c r="F21" s="36"/>
      <c r="G21" s="36"/>
      <c r="H21" s="36"/>
    </row>
    <row r="22" spans="1:8" ht="15.75" customHeight="1" x14ac:dyDescent="0.15">
      <c r="A22" s="31"/>
      <c r="B22" s="31"/>
      <c r="C22" s="35"/>
      <c r="D22" s="36"/>
      <c r="E22" s="37"/>
      <c r="F22" s="36"/>
      <c r="G22" s="36"/>
      <c r="H22" s="36"/>
    </row>
    <row r="23" spans="1:8" ht="15.75" customHeight="1" x14ac:dyDescent="0.15">
      <c r="A23" s="31"/>
      <c r="B23" s="31"/>
      <c r="C23" s="35"/>
      <c r="D23" s="36"/>
      <c r="E23" s="37"/>
      <c r="F23" s="36"/>
      <c r="G23" s="38"/>
      <c r="H23" s="36"/>
    </row>
    <row r="24" spans="1:8" ht="15.75" customHeight="1" x14ac:dyDescent="0.15">
      <c r="A24" s="31"/>
      <c r="B24" s="31"/>
      <c r="C24" s="35"/>
      <c r="D24" s="36"/>
      <c r="E24" s="37"/>
      <c r="F24" s="36"/>
      <c r="G24" s="38"/>
      <c r="H24" s="36"/>
    </row>
    <row r="25" spans="1:8" ht="15.75" customHeight="1" x14ac:dyDescent="0.15">
      <c r="A25" s="31"/>
      <c r="B25" s="31"/>
      <c r="C25" s="35"/>
      <c r="D25" s="36"/>
      <c r="E25" s="37"/>
      <c r="F25" s="36"/>
      <c r="G25" s="38"/>
      <c r="H25" s="36"/>
    </row>
    <row r="26" spans="1:8" ht="15.75" customHeight="1" x14ac:dyDescent="0.15">
      <c r="A26" s="31"/>
      <c r="B26" s="31"/>
      <c r="C26" s="35"/>
      <c r="D26" s="39"/>
      <c r="E26" s="40"/>
      <c r="F26" s="39"/>
      <c r="G26" s="41"/>
      <c r="H26" s="39"/>
    </row>
    <row r="27" spans="1:8" ht="15.75" customHeight="1" x14ac:dyDescent="0.15">
      <c r="A27" s="31"/>
      <c r="B27" s="31"/>
      <c r="C27" s="35"/>
      <c r="D27" s="38"/>
      <c r="E27" s="42"/>
      <c r="F27" s="38"/>
      <c r="G27" s="38"/>
      <c r="H27" s="38"/>
    </row>
    <row r="28" spans="1:8" ht="15.75" customHeight="1" x14ac:dyDescent="0.15">
      <c r="A28" s="31"/>
      <c r="B28" s="31"/>
      <c r="C28" s="35"/>
      <c r="D28" s="36"/>
      <c r="E28" s="37"/>
      <c r="F28" s="36"/>
      <c r="G28" s="38"/>
      <c r="H28" s="36"/>
    </row>
    <row r="29" spans="1:8" ht="15.75" customHeight="1" x14ac:dyDescent="0.15">
      <c r="A29" s="31"/>
      <c r="B29" s="31"/>
      <c r="C29" s="35"/>
      <c r="D29" s="43"/>
      <c r="E29" s="12"/>
      <c r="F29" s="43"/>
      <c r="G29" s="44"/>
      <c r="H29" s="43"/>
    </row>
    <row r="30" spans="1:8" ht="15.75" customHeight="1" x14ac:dyDescent="0.15">
      <c r="A30" s="31"/>
      <c r="B30" s="31"/>
      <c r="C30" s="35"/>
      <c r="D30" s="36"/>
      <c r="E30" s="37"/>
      <c r="F30" s="36"/>
      <c r="G30" s="38"/>
      <c r="H30" s="36"/>
    </row>
    <row r="31" spans="1:8" ht="14" x14ac:dyDescent="0.15">
      <c r="A31" s="31"/>
      <c r="B31" s="31"/>
      <c r="C31" s="35"/>
      <c r="D31" s="36"/>
      <c r="E31" s="37"/>
      <c r="F31" s="36"/>
      <c r="G31" s="36"/>
      <c r="H31" s="36"/>
    </row>
    <row r="32" spans="1:8" ht="14" x14ac:dyDescent="0.15">
      <c r="A32" s="31"/>
      <c r="B32" s="31"/>
      <c r="C32" s="35"/>
      <c r="D32" s="36"/>
      <c r="E32" s="37"/>
      <c r="F32" s="36"/>
      <c r="G32" s="36"/>
      <c r="H32" s="36"/>
    </row>
    <row r="33" spans="1:8" ht="14" x14ac:dyDescent="0.15">
      <c r="A33" s="31"/>
      <c r="B33" s="31"/>
      <c r="C33" s="35"/>
      <c r="D33" s="36"/>
      <c r="E33" s="37"/>
      <c r="F33" s="36"/>
      <c r="G33" s="36"/>
      <c r="H33" s="36"/>
    </row>
    <row r="34" spans="1:8" ht="14" x14ac:dyDescent="0.15">
      <c r="A34" s="31"/>
      <c r="B34" s="31"/>
      <c r="C34" s="35"/>
      <c r="D34" s="39"/>
      <c r="E34" s="40"/>
      <c r="F34" s="39"/>
      <c r="G34" s="41"/>
      <c r="H34" s="39"/>
    </row>
    <row r="35" spans="1:8" ht="14" x14ac:dyDescent="0.15">
      <c r="A35" s="31"/>
      <c r="B35" s="31"/>
      <c r="C35" s="35"/>
      <c r="D35" s="43"/>
      <c r="E35" s="12"/>
      <c r="F35" s="43"/>
      <c r="G35" s="43"/>
      <c r="H35" s="43"/>
    </row>
    <row r="36" spans="1:8" ht="14" x14ac:dyDescent="0.15">
      <c r="A36" s="31"/>
      <c r="B36" s="31"/>
      <c r="C36" s="35"/>
      <c r="D36" s="43"/>
      <c r="E36" s="12"/>
      <c r="F36" s="43"/>
      <c r="G36" s="43"/>
      <c r="H36" s="43"/>
    </row>
    <row r="37" spans="1:8" ht="14" x14ac:dyDescent="0.15">
      <c r="A37" s="31"/>
      <c r="B37" s="31"/>
      <c r="C37" s="35"/>
      <c r="D37" s="43"/>
      <c r="E37" s="12"/>
      <c r="F37" s="43"/>
      <c r="G37" s="43"/>
      <c r="H37" s="43"/>
    </row>
    <row r="38" spans="1:8" ht="14" x14ac:dyDescent="0.15">
      <c r="A38" s="31"/>
      <c r="B38" s="31"/>
      <c r="C38" s="35"/>
      <c r="D38" s="43"/>
      <c r="E38" s="12"/>
      <c r="F38" s="43"/>
      <c r="G38" s="43"/>
      <c r="H38" s="43"/>
    </row>
  </sheetData>
  <mergeCells count="9">
    <mergeCell ref="G3:H3"/>
    <mergeCell ref="C1:D1"/>
    <mergeCell ref="G1:H1"/>
    <mergeCell ref="C3:D3"/>
    <mergeCell ref="C4:D4"/>
    <mergeCell ref="C11:D11"/>
    <mergeCell ref="G4:H4"/>
    <mergeCell ref="G11:H11"/>
    <mergeCell ref="G18:H18"/>
  </mergeCells>
  <printOptions horizontalCentered="1" gridLines="1"/>
  <pageMargins left="0.25" right="0.25" top="0.75" bottom="0.75" header="0" footer="0"/>
  <pageSetup paperSize="5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5.1640625" customWidth="1"/>
    <col min="2" max="2" width="4.33203125" customWidth="1"/>
    <col min="3" max="4" width="39.33203125" customWidth="1"/>
    <col min="5" max="5" width="1.83203125" customWidth="1"/>
    <col min="6" max="6" width="5.1640625" customWidth="1"/>
    <col min="7" max="7" width="4.33203125" customWidth="1"/>
    <col min="8" max="9" width="39.33203125" customWidth="1"/>
  </cols>
  <sheetData>
    <row r="1" spans="1:9" ht="15.75" customHeight="1" x14ac:dyDescent="0.15">
      <c r="A1" s="50" t="s">
        <v>0</v>
      </c>
      <c r="B1" s="51"/>
      <c r="C1" s="3" t="s">
        <v>2</v>
      </c>
      <c r="D1" s="3" t="s">
        <v>4</v>
      </c>
      <c r="E1" s="4"/>
      <c r="F1" s="50" t="s">
        <v>5</v>
      </c>
      <c r="G1" s="51"/>
      <c r="H1" s="3" t="s">
        <v>2</v>
      </c>
      <c r="I1" s="3" t="s">
        <v>4</v>
      </c>
    </row>
    <row r="2" spans="1:9" ht="15.75" customHeight="1" x14ac:dyDescent="0.15">
      <c r="A2" s="6">
        <v>0.34722222222222221</v>
      </c>
      <c r="B2" s="6">
        <f>A2+"00:10"</f>
        <v>0.35416666666666663</v>
      </c>
      <c r="C2" s="53" t="s">
        <v>7</v>
      </c>
      <c r="D2" s="46"/>
      <c r="E2" s="9"/>
      <c r="F2" s="6"/>
      <c r="G2" s="6"/>
      <c r="H2" s="54"/>
      <c r="I2" s="51"/>
    </row>
    <row r="3" spans="1:9" ht="15.75" customHeight="1" x14ac:dyDescent="0.15">
      <c r="A3" s="6">
        <f>B2</f>
        <v>0.35416666666666663</v>
      </c>
      <c r="B3" s="6">
        <f t="shared" ref="B3:B5" si="0">A3+"00:40"</f>
        <v>0.38194444444444442</v>
      </c>
      <c r="C3" s="55" t="s">
        <v>8</v>
      </c>
      <c r="D3" s="46"/>
      <c r="E3" s="9"/>
      <c r="F3" s="6">
        <v>0.35416666666666669</v>
      </c>
      <c r="G3" s="6">
        <f t="shared" ref="G3:G5" si="1">F3+"00:40"</f>
        <v>0.38194444444444448</v>
      </c>
      <c r="H3" s="56" t="s">
        <v>9</v>
      </c>
      <c r="I3" s="46"/>
    </row>
    <row r="4" spans="1:9" ht="15.75" customHeight="1" x14ac:dyDescent="0.15">
      <c r="A4" s="6">
        <f t="shared" ref="A4:A5" si="2">B3+"00:10"</f>
        <v>0.38888888888888884</v>
      </c>
      <c r="B4" s="6">
        <f t="shared" si="0"/>
        <v>0.41666666666666663</v>
      </c>
      <c r="C4" s="13" t="s">
        <v>13</v>
      </c>
      <c r="D4" s="13" t="s">
        <v>14</v>
      </c>
      <c r="E4" s="9"/>
      <c r="F4" s="6">
        <f t="shared" ref="F4:F5" si="3">G3+"00:10"</f>
        <v>0.3888888888888889</v>
      </c>
      <c r="G4" s="6">
        <f t="shared" si="1"/>
        <v>0.41666666666666669</v>
      </c>
      <c r="H4" s="13" t="s">
        <v>15</v>
      </c>
      <c r="I4" s="13" t="s">
        <v>16</v>
      </c>
    </row>
    <row r="5" spans="1:9" ht="15.75" customHeight="1" x14ac:dyDescent="0.15">
      <c r="A5" s="6">
        <f t="shared" si="2"/>
        <v>0.42361111111111105</v>
      </c>
      <c r="B5" s="6">
        <f t="shared" si="0"/>
        <v>0.45138888888888884</v>
      </c>
      <c r="C5" s="13" t="s">
        <v>17</v>
      </c>
      <c r="D5" s="13" t="s">
        <v>18</v>
      </c>
      <c r="E5" s="9"/>
      <c r="F5" s="6">
        <f t="shared" si="3"/>
        <v>0.4236111111111111</v>
      </c>
      <c r="G5" s="6">
        <f t="shared" si="1"/>
        <v>0.4513888888888889</v>
      </c>
      <c r="H5" s="14"/>
      <c r="I5" s="13" t="s">
        <v>20</v>
      </c>
    </row>
    <row r="6" spans="1:9" ht="15.75" customHeight="1" x14ac:dyDescent="0.15">
      <c r="A6" s="16">
        <f t="shared" ref="A6:A7" si="4">B5</f>
        <v>0.45138888888888884</v>
      </c>
      <c r="B6" s="16">
        <f>A6+"00:20"</f>
        <v>0.46527777777777773</v>
      </c>
      <c r="C6" s="17" t="s">
        <v>25</v>
      </c>
      <c r="D6" s="17" t="s">
        <v>25</v>
      </c>
      <c r="E6" s="18"/>
      <c r="F6" s="16">
        <f t="shared" ref="F6:F7" si="5">G5</f>
        <v>0.4513888888888889</v>
      </c>
      <c r="G6" s="16">
        <f>F6+"00:20"</f>
        <v>0.46527777777777779</v>
      </c>
      <c r="H6" s="17" t="s">
        <v>25</v>
      </c>
      <c r="I6" s="17" t="s">
        <v>25</v>
      </c>
    </row>
    <row r="7" spans="1:9" ht="15.75" customHeight="1" x14ac:dyDescent="0.15">
      <c r="A7" s="6">
        <f t="shared" si="4"/>
        <v>0.46527777777777773</v>
      </c>
      <c r="B7" s="6">
        <f t="shared" ref="B7:B8" si="6">A7+"00:40"</f>
        <v>0.49305555555555552</v>
      </c>
      <c r="C7" s="13" t="s">
        <v>26</v>
      </c>
      <c r="D7" s="13" t="s">
        <v>27</v>
      </c>
      <c r="E7" s="9"/>
      <c r="F7" s="6">
        <f t="shared" si="5"/>
        <v>0.46527777777777779</v>
      </c>
      <c r="G7" s="6">
        <f t="shared" ref="G7:G8" si="7">F7+"00:40"</f>
        <v>0.49305555555555558</v>
      </c>
      <c r="H7" s="13" t="s">
        <v>29</v>
      </c>
      <c r="I7" s="13" t="s">
        <v>31</v>
      </c>
    </row>
    <row r="8" spans="1:9" ht="15.75" customHeight="1" x14ac:dyDescent="0.15">
      <c r="A8" s="6">
        <f>B7+"00:10"</f>
        <v>0.49999999999999994</v>
      </c>
      <c r="B8" s="6">
        <f t="shared" si="6"/>
        <v>0.52777777777777768</v>
      </c>
      <c r="C8" s="13" t="s">
        <v>36</v>
      </c>
      <c r="D8" s="13" t="s">
        <v>37</v>
      </c>
      <c r="E8" s="9"/>
      <c r="F8" s="6">
        <f>G7+"00:10"</f>
        <v>0.5</v>
      </c>
      <c r="G8" s="6">
        <f t="shared" si="7"/>
        <v>0.52777777777777779</v>
      </c>
      <c r="H8" s="13" t="s">
        <v>38</v>
      </c>
      <c r="I8" s="13" t="s">
        <v>39</v>
      </c>
    </row>
    <row r="9" spans="1:9" ht="15.75" customHeight="1" x14ac:dyDescent="0.15">
      <c r="A9" s="16">
        <f t="shared" ref="A9:A10" si="8">B8</f>
        <v>0.52777777777777768</v>
      </c>
      <c r="B9" s="16">
        <v>0.58333333333333337</v>
      </c>
      <c r="C9" s="17" t="s">
        <v>40</v>
      </c>
      <c r="D9" s="17" t="s">
        <v>40</v>
      </c>
      <c r="E9" s="18"/>
      <c r="F9" s="16">
        <f t="shared" ref="F9:F10" si="9">G8</f>
        <v>0.52777777777777779</v>
      </c>
      <c r="G9" s="16">
        <v>0.58333333333333337</v>
      </c>
      <c r="H9" s="17" t="s">
        <v>40</v>
      </c>
      <c r="I9" s="17" t="s">
        <v>40</v>
      </c>
    </row>
    <row r="10" spans="1:9" ht="15.75" customHeight="1" x14ac:dyDescent="0.15">
      <c r="A10" s="6">
        <f t="shared" si="8"/>
        <v>0.58333333333333337</v>
      </c>
      <c r="B10" s="6">
        <f t="shared" ref="B10:B12" si="10">A10+"00:40"</f>
        <v>0.61111111111111116</v>
      </c>
      <c r="C10" s="52" t="s">
        <v>42</v>
      </c>
      <c r="D10" s="46"/>
      <c r="E10" s="9"/>
      <c r="F10" s="6">
        <f t="shared" si="9"/>
        <v>0.58333333333333337</v>
      </c>
      <c r="G10" s="6">
        <f t="shared" ref="G10:G12" si="11">F10+"00:40"</f>
        <v>0.61111111111111116</v>
      </c>
      <c r="H10" s="52" t="s">
        <v>48</v>
      </c>
      <c r="I10" s="46"/>
    </row>
    <row r="11" spans="1:9" ht="15.75" customHeight="1" x14ac:dyDescent="0.15">
      <c r="A11" s="6">
        <f t="shared" ref="A11:A12" si="12">B10+"00:10"</f>
        <v>0.61805555555555558</v>
      </c>
      <c r="B11" s="6">
        <f t="shared" si="10"/>
        <v>0.64583333333333337</v>
      </c>
      <c r="C11" s="13" t="s">
        <v>50</v>
      </c>
      <c r="D11" s="13" t="s">
        <v>52</v>
      </c>
      <c r="E11" s="9"/>
      <c r="F11" s="6">
        <f t="shared" ref="F11:F12" si="13">G10+"00:10"</f>
        <v>0.61805555555555558</v>
      </c>
      <c r="G11" s="6">
        <f t="shared" si="11"/>
        <v>0.64583333333333337</v>
      </c>
      <c r="H11" s="13" t="s">
        <v>56</v>
      </c>
      <c r="I11" s="13" t="s">
        <v>57</v>
      </c>
    </row>
    <row r="12" spans="1:9" ht="15.75" customHeight="1" x14ac:dyDescent="0.15">
      <c r="A12" s="6">
        <f t="shared" si="12"/>
        <v>0.65277777777777779</v>
      </c>
      <c r="B12" s="6">
        <f t="shared" si="10"/>
        <v>0.68055555555555558</v>
      </c>
      <c r="C12" s="13" t="s">
        <v>58</v>
      </c>
      <c r="D12" s="13" t="s">
        <v>59</v>
      </c>
      <c r="E12" s="9"/>
      <c r="F12" s="6">
        <f t="shared" si="13"/>
        <v>0.65277777777777779</v>
      </c>
      <c r="G12" s="6">
        <f t="shared" si="11"/>
        <v>0.68055555555555558</v>
      </c>
      <c r="H12" s="13" t="s">
        <v>61</v>
      </c>
      <c r="I12" s="13" t="s">
        <v>62</v>
      </c>
    </row>
    <row r="13" spans="1:9" ht="15.75" customHeight="1" x14ac:dyDescent="0.15">
      <c r="A13" s="16">
        <f t="shared" ref="A13:A14" si="14">B12</f>
        <v>0.68055555555555558</v>
      </c>
      <c r="B13" s="16">
        <f>A13+"00:20"</f>
        <v>0.69444444444444442</v>
      </c>
      <c r="C13" s="17" t="s">
        <v>25</v>
      </c>
      <c r="D13" s="17" t="s">
        <v>25</v>
      </c>
      <c r="E13" s="18"/>
      <c r="F13" s="16">
        <f t="shared" ref="F13:F15" si="15">G12</f>
        <v>0.68055555555555558</v>
      </c>
      <c r="G13" s="16">
        <f>F13+"00:20"</f>
        <v>0.69444444444444442</v>
      </c>
      <c r="H13" s="17" t="s">
        <v>25</v>
      </c>
      <c r="I13" s="17" t="s">
        <v>25</v>
      </c>
    </row>
    <row r="14" spans="1:9" ht="15.75" customHeight="1" x14ac:dyDescent="0.15">
      <c r="A14" s="6">
        <f t="shared" si="14"/>
        <v>0.69444444444444442</v>
      </c>
      <c r="B14" s="6">
        <f t="shared" ref="B14:B15" si="16">A14+"00:40"</f>
        <v>0.72222222222222221</v>
      </c>
      <c r="C14" s="13" t="s">
        <v>66</v>
      </c>
      <c r="D14" s="13" t="s">
        <v>67</v>
      </c>
      <c r="E14" s="9"/>
      <c r="F14" s="6">
        <f t="shared" si="15"/>
        <v>0.69444444444444442</v>
      </c>
      <c r="G14" s="6">
        <f>F14+"00:40"</f>
        <v>0.72222222222222221</v>
      </c>
      <c r="H14" s="13" t="s">
        <v>70</v>
      </c>
      <c r="I14" s="13" t="s">
        <v>71</v>
      </c>
    </row>
    <row r="15" spans="1:9" ht="15.75" customHeight="1" x14ac:dyDescent="0.15">
      <c r="A15" s="6">
        <f>B14+"00:10"</f>
        <v>0.72916666666666663</v>
      </c>
      <c r="B15" s="6">
        <f t="shared" si="16"/>
        <v>0.75694444444444442</v>
      </c>
      <c r="C15" s="13" t="s">
        <v>75</v>
      </c>
      <c r="D15" s="13" t="s">
        <v>76</v>
      </c>
      <c r="E15" s="9"/>
      <c r="F15" s="6">
        <f t="shared" si="15"/>
        <v>0.72222222222222221</v>
      </c>
      <c r="G15" s="6">
        <f>F15+"00:10"</f>
        <v>0.72916666666666663</v>
      </c>
      <c r="H15" s="53" t="s">
        <v>78</v>
      </c>
      <c r="I15" s="46"/>
    </row>
    <row r="16" spans="1:9" ht="15.75" customHeight="1" x14ac:dyDescent="0.15">
      <c r="A16" s="22"/>
      <c r="B16" s="22"/>
      <c r="C16" s="22"/>
      <c r="D16" s="22"/>
      <c r="E16" s="22"/>
      <c r="F16" s="22"/>
      <c r="G16" s="22"/>
      <c r="H16" s="22"/>
      <c r="I16" s="9"/>
    </row>
    <row r="17" spans="1:9" ht="15.75" customHeight="1" x14ac:dyDescent="0.15">
      <c r="A17" s="23"/>
      <c r="B17" s="24"/>
      <c r="C17" s="9"/>
      <c r="D17" s="9"/>
      <c r="E17" s="9"/>
      <c r="F17" s="23"/>
      <c r="G17" s="24"/>
      <c r="H17" s="9"/>
      <c r="I17" s="9"/>
    </row>
    <row r="18" spans="1:9" ht="15.75" customHeight="1" x14ac:dyDescent="0.15">
      <c r="A18" s="23"/>
      <c r="B18" s="24"/>
      <c r="C18" s="25" t="s">
        <v>85</v>
      </c>
      <c r="E18" s="9"/>
      <c r="F18" s="23"/>
      <c r="G18" s="24"/>
      <c r="H18" s="9"/>
      <c r="I18" s="9"/>
    </row>
    <row r="19" spans="1:9" ht="15.75" customHeight="1" x14ac:dyDescent="0.15">
      <c r="A19" s="23"/>
      <c r="B19" s="24"/>
      <c r="C19" s="25" t="s">
        <v>86</v>
      </c>
      <c r="D19" s="26">
        <f>COUNTIF(speakers,"*/PA/*")</f>
        <v>12</v>
      </c>
      <c r="E19" s="9"/>
      <c r="F19" s="23"/>
      <c r="G19" s="24"/>
      <c r="H19" s="9"/>
      <c r="I19" s="9"/>
    </row>
    <row r="20" spans="1:9" ht="15.75" customHeight="1" x14ac:dyDescent="0.15">
      <c r="A20" s="23"/>
      <c r="B20" s="24"/>
      <c r="C20" s="25" t="s">
        <v>79</v>
      </c>
      <c r="D20" s="26">
        <f>COUNTIF(speakers,"*/PB/*")</f>
        <v>11</v>
      </c>
      <c r="E20" s="9"/>
      <c r="F20" s="23"/>
      <c r="G20" s="24"/>
      <c r="H20" s="9"/>
      <c r="I20" s="9"/>
    </row>
    <row r="21" spans="1:9" ht="15.75" customHeight="1" x14ac:dyDescent="0.15">
      <c r="A21" s="23"/>
      <c r="B21" s="24"/>
      <c r="C21" s="25" t="s">
        <v>87</v>
      </c>
      <c r="D21" s="26">
        <f>COUNTIF(speakers,"*/PC/*")</f>
        <v>2</v>
      </c>
      <c r="E21" s="9"/>
      <c r="F21" s="23"/>
      <c r="G21" s="24"/>
      <c r="H21" s="9"/>
      <c r="I21" s="9"/>
    </row>
    <row r="22" spans="1:9" ht="15.75" customHeight="1" x14ac:dyDescent="0.15">
      <c r="A22" s="23"/>
      <c r="B22" s="24"/>
      <c r="C22" s="25" t="s">
        <v>91</v>
      </c>
      <c r="D22" s="26">
        <f>COUNTIF(speakers,"*/PD/*")</f>
        <v>6</v>
      </c>
      <c r="E22" s="9"/>
      <c r="F22" s="23"/>
      <c r="G22" s="24"/>
      <c r="H22" s="9"/>
      <c r="I22" s="9"/>
    </row>
    <row r="23" spans="1:9" ht="15.75" customHeight="1" x14ac:dyDescent="0.15">
      <c r="A23" s="23"/>
      <c r="B23" s="24"/>
      <c r="C23" s="25" t="s">
        <v>94</v>
      </c>
      <c r="D23" s="26">
        <f>COUNTIF(speakers,"*/PE/*")</f>
        <v>2</v>
      </c>
      <c r="E23" s="9"/>
      <c r="F23" s="23"/>
      <c r="G23" s="24"/>
      <c r="H23" s="9"/>
      <c r="I23" s="9"/>
    </row>
    <row r="24" spans="1:9" ht="15.75" customHeight="1" x14ac:dyDescent="0.15">
      <c r="A24" s="23"/>
      <c r="B24" s="24"/>
      <c r="C24" s="25"/>
      <c r="D24" s="27">
        <f>SUM(D19:D23)</f>
        <v>33</v>
      </c>
      <c r="E24" s="9"/>
      <c r="F24" s="23"/>
      <c r="G24" s="24"/>
      <c r="H24" s="9"/>
      <c r="I24" s="9"/>
    </row>
    <row r="25" spans="1:9" x14ac:dyDescent="0.2">
      <c r="A25" s="23"/>
      <c r="B25" s="24"/>
      <c r="C25" s="25" t="s">
        <v>97</v>
      </c>
      <c r="D25" s="29">
        <f>COUNTIF(speakers,"*/MC/*")</f>
        <v>33</v>
      </c>
      <c r="E25" s="9"/>
      <c r="F25" s="23"/>
      <c r="G25" s="24"/>
      <c r="H25" s="9"/>
      <c r="I25" s="9"/>
    </row>
    <row r="26" spans="1:9" ht="15.75" customHeight="1" x14ac:dyDescent="0.15">
      <c r="A26" s="23"/>
      <c r="B26" s="24"/>
      <c r="C26" s="25" t="s">
        <v>106</v>
      </c>
      <c r="D26" s="26">
        <f>COUNTIF($B$3:$I$17,"*/PO/*")</f>
        <v>1</v>
      </c>
      <c r="E26" s="9"/>
      <c r="F26" s="23"/>
      <c r="G26" s="24"/>
      <c r="H26" s="9"/>
      <c r="I26" s="9"/>
    </row>
    <row r="27" spans="1:9" ht="15.75" customHeight="1" x14ac:dyDescent="0.15">
      <c r="A27" s="23"/>
      <c r="B27" s="24"/>
      <c r="C27" s="25"/>
      <c r="D27" s="30"/>
      <c r="E27" s="9"/>
      <c r="F27" s="23"/>
      <c r="G27" s="24"/>
      <c r="H27" s="9"/>
      <c r="I27" s="9"/>
    </row>
    <row r="28" spans="1:9" ht="15.75" customHeight="1" x14ac:dyDescent="0.15">
      <c r="A28" s="23"/>
      <c r="B28" s="24"/>
      <c r="C28" s="25" t="s">
        <v>110</v>
      </c>
      <c r="D28" s="26">
        <f>COUNTIF(speakers,"*N4/*")</f>
        <v>4</v>
      </c>
      <c r="E28" s="9"/>
      <c r="F28" s="23"/>
      <c r="G28" s="24"/>
      <c r="H28" s="9"/>
      <c r="I28" s="9"/>
    </row>
    <row r="29" spans="1:9" ht="15.75" customHeight="1" x14ac:dyDescent="0.15">
      <c r="A29" s="23"/>
      <c r="B29" s="24"/>
      <c r="C29" s="25" t="s">
        <v>111</v>
      </c>
      <c r="D29" s="26">
        <f>COUNTIF(speakers,"*/IN3/*")</f>
        <v>9</v>
      </c>
      <c r="E29" s="9"/>
      <c r="F29" s="23"/>
      <c r="G29" s="24"/>
      <c r="H29" s="9"/>
      <c r="I29" s="9"/>
    </row>
    <row r="30" spans="1:9" ht="15.75" customHeight="1" x14ac:dyDescent="0.15">
      <c r="A30" s="23"/>
      <c r="B30" s="24"/>
      <c r="C30" s="25" t="s">
        <v>112</v>
      </c>
      <c r="D30" s="26">
        <f>COUNTIF(speakers,"*/IN2/*")</f>
        <v>15</v>
      </c>
      <c r="E30" s="9"/>
      <c r="F30" s="23"/>
      <c r="G30" s="24"/>
      <c r="H30" s="9"/>
      <c r="I30" s="9"/>
    </row>
    <row r="31" spans="1:9" ht="15.75" customHeight="1" x14ac:dyDescent="0.15">
      <c r="A31" s="23"/>
      <c r="B31" s="24"/>
      <c r="C31" s="25" t="s">
        <v>113</v>
      </c>
      <c r="D31" s="26">
        <f>COUNTIF(speakers,"*NN2/*")+COUNTIF(speakers,"*/NN3/*")</f>
        <v>5</v>
      </c>
      <c r="E31" s="9"/>
      <c r="F31" s="23"/>
      <c r="G31" s="24"/>
      <c r="H31" s="9"/>
      <c r="I31" s="9"/>
    </row>
    <row r="32" spans="1:9" ht="15.75" customHeight="1" x14ac:dyDescent="0.15">
      <c r="A32" s="23"/>
      <c r="B32" s="24"/>
      <c r="C32" s="25"/>
      <c r="D32" s="27">
        <f>SUM(D28:D31)</f>
        <v>33</v>
      </c>
      <c r="E32" s="9"/>
      <c r="F32" s="23"/>
      <c r="G32" s="24"/>
      <c r="H32" s="9"/>
      <c r="I32" s="9"/>
    </row>
    <row r="33" spans="1:9" ht="15.75" customHeight="1" x14ac:dyDescent="0.15">
      <c r="A33" s="23"/>
      <c r="B33" s="24"/>
      <c r="C33" s="25" t="s">
        <v>114</v>
      </c>
      <c r="D33" s="30"/>
      <c r="E33" s="9"/>
      <c r="F33" s="23"/>
      <c r="G33" s="24"/>
      <c r="H33" s="9"/>
      <c r="I33" s="9"/>
    </row>
    <row r="34" spans="1:9" ht="15.75" customHeight="1" x14ac:dyDescent="0.15">
      <c r="A34" s="23"/>
      <c r="B34" s="24"/>
      <c r="C34" s="25" t="s">
        <v>77</v>
      </c>
      <c r="D34" s="30"/>
      <c r="E34" s="9"/>
      <c r="F34" s="23"/>
      <c r="G34" s="24"/>
      <c r="H34" s="9"/>
      <c r="I34" s="9"/>
    </row>
    <row r="35" spans="1:9" ht="15.75" customHeight="1" x14ac:dyDescent="0.15">
      <c r="A35" s="23"/>
      <c r="B35" s="24"/>
      <c r="C35" s="25" t="s">
        <v>33</v>
      </c>
      <c r="D35" s="30"/>
      <c r="E35" s="9"/>
      <c r="F35" s="23"/>
      <c r="G35" s="24"/>
      <c r="H35" s="9"/>
      <c r="I35" s="9"/>
    </row>
    <row r="36" spans="1:9" ht="15.75" customHeight="1" x14ac:dyDescent="0.15">
      <c r="A36" s="23"/>
      <c r="B36" s="24"/>
      <c r="C36" s="25" t="s">
        <v>115</v>
      </c>
      <c r="D36" s="30"/>
      <c r="E36" s="9"/>
      <c r="F36" s="23"/>
      <c r="G36" s="24"/>
      <c r="H36" s="9"/>
      <c r="I36" s="9"/>
    </row>
    <row r="37" spans="1:9" ht="15.75" customHeight="1" x14ac:dyDescent="0.15">
      <c r="A37" s="23"/>
      <c r="B37" s="24"/>
      <c r="C37" s="9"/>
      <c r="D37" s="9"/>
      <c r="E37" s="9"/>
      <c r="F37" s="23"/>
      <c r="G37" s="24"/>
      <c r="H37" s="9"/>
      <c r="I37" s="9"/>
    </row>
  </sheetData>
  <mergeCells count="9">
    <mergeCell ref="H10:I10"/>
    <mergeCell ref="H15:I15"/>
    <mergeCell ref="A1:B1"/>
    <mergeCell ref="F1:G1"/>
    <mergeCell ref="C2:D2"/>
    <mergeCell ref="H2:I2"/>
    <mergeCell ref="C3:D3"/>
    <mergeCell ref="H3:I3"/>
    <mergeCell ref="C10:D10"/>
  </mergeCells>
  <printOptions horizontalCentered="1" gridLines="1"/>
  <pageMargins left="0.25" right="0.25" top="0.75" bottom="0.75" header="0" footer="0"/>
  <pageSetup paperSize="5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Programa Oficial</vt:lpstr>
      <vt:lpstr>grillaA</vt:lpstr>
      <vt:lpstr>speakers</vt:lpstr>
      <vt:lpstr>speakers26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Hurtado</cp:lastModifiedBy>
  <dcterms:created xsi:type="dcterms:W3CDTF">2026-10-29T02:11:53Z</dcterms:created>
  <dcterms:modified xsi:type="dcterms:W3CDTF">2026-10-29T02:11:53Z</dcterms:modified>
</cp:coreProperties>
</file>