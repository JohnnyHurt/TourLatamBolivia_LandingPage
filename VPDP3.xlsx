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illaoct26" sheetId="1" r:id="rId5"/>
    <sheet state="hidden" name="grillaA" sheetId="2" r:id="rId6"/>
    <sheet state="visible" name="tl26" sheetId="3" r:id="rId7"/>
    <sheet state="visible" name="original" sheetId="4" r:id="rId8"/>
    <sheet state="visible" name="tl26 original" sheetId="5" r:id="rId9"/>
  </sheets>
  <definedNames>
    <definedName name="speakers">grillaA!$A$1:$I$17</definedName>
    <definedName name="speakers26">grillaoct26!$A$2:$I$30</definedName>
    <definedName hidden="1" localSheetId="0" name="_xlnm._FilterDatabase">grillaoct26!$A$2:$I$31</definedName>
    <definedName hidden="1" localSheetId="2" name="_xlnm._FilterDatabase">'tl26'!$A$1:$V$44</definedName>
    <definedName hidden="1" localSheetId="3" name="_xlnm._FilterDatabase">original!$A$1:$W$46</definedName>
    <definedName hidden="1" localSheetId="4" name="_xlnm._FilterDatabase">'tl26 original'!$A$1:$M$48</definedName>
  </definedNames>
  <calcPr/>
</workbook>
</file>

<file path=xl/sharedStrings.xml><?xml version="1.0" encoding="utf-8"?>
<sst xmlns="http://schemas.openxmlformats.org/spreadsheetml/2006/main" count="2511" uniqueCount="1277">
  <si>
    <t>Dia 20</t>
  </si>
  <si>
    <t>PROGRAMA PARA EL TOURLATAM BOLIVIA 2026: DÍA 20 DE NOVIEMBRE</t>
  </si>
  <si>
    <t>Canal A</t>
  </si>
  <si>
    <t>#</t>
  </si>
  <si>
    <t>PROGRAMA PARA EL TOURLATAM BOLIVIA 2026: DÍA 21 DE NOVIEMBRE</t>
  </si>
  <si>
    <t>Canal B</t>
  </si>
  <si>
    <t>Speaker</t>
  </si>
  <si>
    <t>Dia 21</t>
  </si>
  <si>
    <t>Pais</t>
  </si>
  <si>
    <t>GMT</t>
  </si>
  <si>
    <t>interna</t>
  </si>
  <si>
    <t>GMT-4</t>
  </si>
  <si>
    <t>nivel</t>
  </si>
  <si>
    <t>Pilar</t>
  </si>
  <si>
    <t>Tri · Pil · Ses</t>
  </si>
  <si>
    <t>Título</t>
  </si>
  <si>
    <t>Descripción</t>
  </si>
  <si>
    <t>Celular</t>
  </si>
  <si>
    <t>Timestamp</t>
  </si>
  <si>
    <t>Correo</t>
  </si>
  <si>
    <t>wsp</t>
  </si>
  <si>
    <t>mail</t>
  </si>
  <si>
    <t>mail2</t>
  </si>
  <si>
    <t>Email Address</t>
  </si>
  <si>
    <t>mailh</t>
  </si>
  <si>
    <t>He leído y acepto los Términos y Condiciones establecidos en el Anexo A (incluyendo el uso de mis datos personales, fotografía y grabación de la sesión por parte de PMI Bolivia).</t>
  </si>
  <si>
    <t>PPTX</t>
  </si>
  <si>
    <t>Nombre y Apellido</t>
  </si>
  <si>
    <t>Cal.</t>
  </si>
  <si>
    <t>Compañía / Posición</t>
  </si>
  <si>
    <t>Información de la Compañía (página web y perfil)</t>
  </si>
  <si>
    <t>Biografia</t>
  </si>
  <si>
    <t>N° de contacto (código de país + número de celular / WhatsApp)</t>
  </si>
  <si>
    <t>Justificación</t>
  </si>
  <si>
    <t>E-mail</t>
  </si>
  <si>
    <t>Biografía del Expositor (hasta media página)</t>
  </si>
  <si>
    <t>Enlace a su perfil de LinkedIn</t>
  </si>
  <si>
    <t>¿Cuentas con alguna certificación del PMI?</t>
  </si>
  <si>
    <t>Foto de alta resolución (formato PNG)</t>
  </si>
  <si>
    <t>Steeven Apaza</t>
  </si>
  <si>
    <t>Perú</t>
  </si>
  <si>
    <t>GMT-5</t>
  </si>
  <si>
    <t>I</t>
  </si>
  <si>
    <t>Inauguración (ambos canales)</t>
  </si>
  <si>
    <t>Nov.20
[08:20–08:30]</t>
  </si>
  <si>
    <t>Presentaciones previas / Referencias (últimos 5 años)</t>
  </si>
  <si>
    <t>Experiencia general como expositor (últimos 5 años)</t>
  </si>
  <si>
    <t>Tipo de sesión</t>
  </si>
  <si>
    <t>Área del Triángulo del Talento del PMI</t>
  </si>
  <si>
    <t>Pilar temático de su presentación</t>
  </si>
  <si>
    <t>Título de la Presentación</t>
  </si>
  <si>
    <t>Objetivos de la Presentación</t>
  </si>
  <si>
    <t>Resumen de la presentación</t>
  </si>
  <si>
    <t>Innovación</t>
  </si>
  <si>
    <t>Solicitudes especiales</t>
  </si>
  <si>
    <t>Cargar CV actualizado</t>
  </si>
  <si>
    <t>D</t>
  </si>
  <si>
    <t>steeven.apaza@gmail.com</t>
  </si>
  <si>
    <t>B · D · M</t>
  </si>
  <si>
    <t>Liderando proyectos complejos desde el calor humano en la era de los datos. EQ + IA = New PM</t>
  </si>
  <si>
    <t>MODEADOR</t>
  </si>
  <si>
    <t>Integrar IA predictiva con inteligencia emocional y gestión de interesados en proyectos complejos.</t>
  </si>
  <si>
    <t>Acepto los Términos y Condiciones</t>
  </si>
  <si>
    <t>+591 57032154</t>
  </si>
  <si>
    <t>Gerente de proyectos - APG LATAM Y EUROPA</t>
  </si>
  <si>
    <t>Www.apg-consulting.com</t>
  </si>
  <si>
    <t>Moderador: Shogun Shimose</t>
  </si>
  <si>
    <r>
      <rPr>
        <color rgb="FF1155CC"/>
        <u/>
      </rPr>
      <t>steeven.apaza@gmail.com</t>
    </r>
  </si>
  <si>
    <r>
      <rPr>
        <rFont val="Arial"/>
        <b/>
        <color theme="1"/>
        <sz val="9.0"/>
      </rPr>
      <t>Keynote de apertura: Anabel Domínguez (España)</t>
    </r>
    <r>
      <rPr>
        <rFont val="Arial"/>
        <color theme="1"/>
        <sz val="9.0"/>
      </rPr>
      <t xml:space="preserve">
«De Project Manager técnico a Project Manager directivo»
/IN4/PA/MC/</t>
    </r>
  </si>
  <si>
    <r>
      <rPr>
        <rFont val="Arial"/>
        <b/>
        <color theme="1"/>
        <sz val="9.0"/>
      </rPr>
      <t>Keynote de apertura: Fabian Schwartz (Alemania)</t>
    </r>
    <r>
      <rPr>
        <rFont val="Arial"/>
        <color theme="1"/>
        <sz val="9.0"/>
      </rPr>
      <t xml:space="preserve">
«Agilidad + IA para una transformación inteligente»
 /IN4/PA/MC/</t>
    </r>
  </si>
  <si>
    <t>Nov.20
[08:30–09:10]</t>
  </si>
  <si>
    <r>
      <rPr>
        <rFont val="Arial"/>
        <b/>
        <color theme="1"/>
        <sz val="11.0"/>
      </rPr>
      <t>Keynote de apertura: Anabel Domínguez (España)</t>
    </r>
    <r>
      <rPr>
        <rFont val="Arial"/>
        <color theme="1"/>
        <sz val="11.0"/>
      </rPr>
      <t xml:space="preserve">
«De Project Manager técnico a Project Manager directivo»
/IN4/PA/MC/</t>
    </r>
  </si>
  <si>
    <t>Nov.21
[08:30-09:10]</t>
  </si>
  <si>
    <r>
      <rPr>
        <rFont val="Arial"/>
        <b/>
        <color theme="1"/>
        <sz val="11.0"/>
      </rPr>
      <t>Keynote de apertura: Fabian Schwartz (Alemania)</t>
    </r>
    <r>
      <rPr>
        <rFont val="Arial"/>
        <color theme="1"/>
        <sz val="11.0"/>
      </rPr>
      <t xml:space="preserve">
«Agilidad + IA para una transformación inteligente»
 /IN4/PA/MC/</t>
    </r>
  </si>
  <si>
    <r>
      <rPr>
        <rFont val="Arial"/>
        <b/>
        <color theme="1"/>
        <sz val="9.0"/>
      </rPr>
      <t>Dr. Tony Prensa (EE. UU.)</t>
    </r>
    <r>
      <rPr>
        <rFont val="Arial"/>
        <color theme="1"/>
        <sz val="9.0"/>
      </rPr>
      <t xml:space="preserve">
«PMOVA: Una arquitectura para agregar valor empresarial»
/IN3/PA/MC/</t>
    </r>
  </si>
  <si>
    <r>
      <rPr>
        <rFont val="Arial"/>
        <b/>
        <color theme="1"/>
        <sz val="9.0"/>
      </rPr>
      <t>Luz Alicia Acevedo Avila (Perú)</t>
    </r>
    <r>
      <rPr>
        <rFont val="Arial"/>
        <color theme="1"/>
        <sz val="9.0"/>
      </rPr>
      <t xml:space="preserve">
«De Project Manager a AI Project Leader: cómo los agentes de IA están transformando la gestión de proyectos»
/IN3/PB/MC/</t>
    </r>
  </si>
  <si>
    <t xml:space="preserve">Moderador: Shogun Shimose </t>
  </si>
  <si>
    <t>+5957032155</t>
  </si>
  <si>
    <r>
      <rPr>
        <rFont val="Arial"/>
        <b/>
        <color theme="1"/>
        <sz val="9.0"/>
      </rPr>
      <t>Sergio Candelo (Argentina)</t>
    </r>
    <r>
      <rPr>
        <rFont val="Arial"/>
        <color theme="1"/>
        <sz val="9.0"/>
      </rPr>
      <t xml:space="preserve">
«Super PMs. Liderar con Alma en la era de la incertidumbre»
/IN2/PE/MC/</t>
    </r>
  </si>
  <si>
    <r>
      <rPr>
        <rFont val="Arial"/>
        <b/>
        <color theme="1"/>
        <sz val="9.0"/>
      </rPr>
      <t>Ariel Rizzi &amp; Emilse Kasem (Argentina)</t>
    </r>
    <r>
      <rPr>
        <rFont val="Arial"/>
        <color theme="1"/>
        <sz val="9.0"/>
      </rPr>
      <t xml:space="preserve">
«De la Legacy PMO a la SMART-IA PMO»
/IN3/PB/MC/</t>
    </r>
  </si>
  <si>
    <t>1. Formación Académica: Ingeniero de Sistemas por la UDABOL, con Doctorado en Administración de Empresas (AIU) y maestrías en metodologías ágiles y transformación digital , microfinanzss ( España)y administración de negocios.  
2. Experiencia Profesional : Más de 23 años de trayectoria gerencial en banca, seguros y energía, especialista en dirección de TI, transformación digital y gestión de equipos.  
3. Experiencia Profesional (Reciente):  Gerente de PMO en APG Consulting LATAM, tras haber sido Jefe de TI en Ende Corani y Jefe de Proyectos en La Boliviana Ciacruz.  
4. Docencia: Catedrático de postgrado desde 2014 en más de 15 instituciones nacionales e internacionales, impartiendo maestrías y diplomados en tecnología y gestión.  
5. Investigación y Desarrollo Académico: Creador y diseñador de programas académicos avanzados de postgrado, destacando la formulación del Doctorado en Administración de Empresas para el IICCA-UMSA en 2025, más de 20 diplomados creados en UNIFRANZ, USIP, UPAL ,UPDS, UPI, 
6. Experiencia como Expositor (Internacional): Ponente magistral en congresos internacionales del PMI (Tour LATAM en Perú, Ecuador, México y Bolivia) durante los años 2024 y 2026.  
7. Experiencia como Expositor (Capacitación): Instructor PMP certificado para 21 países por PMI LATAM y facilitador de seminarios sobre gestión de proyectos, agilidad e inteligencia artificial.  
8. Premios y Distinciones (Académicos): Condecorado con cartas de felicitación y reconocimientos por excelencia docente por la UMSA (IICCA) en 2023 y 2026, UNIFRANZ, UPAL, USIP , UPI Panamá , y por el CIICEM en 2024.  
9. Premios y Distinciones (Profesionales): Galardonado en 2021 y 2025 por el PMI Chapter Santa Cruz en reconocimiento a sus logros profesionales y su destacada trayectoria en dirección de proyectos.  
10. Liderazgo Institucional: Vicepresidente de Administración del PMI Chapter Santa Cruz (gestion 2024-2025) y miembro activo del voluntariado regional en apoyo al sector empresarial y de emprendimientos.</t>
  </si>
  <si>
    <t>https://www.linkedin.com/in/steevenapazahinojosa?utm_source=share_via&amp;utm_content=profile&amp;utm_medium=member_ios</t>
  </si>
  <si>
    <r>
      <rPr>
        <rFont val="Arial"/>
        <b/>
        <color theme="1"/>
        <sz val="9.0"/>
      </rPr>
      <t>Eddi Rodas (Perú)</t>
    </r>
    <r>
      <rPr>
        <rFont val="Arial"/>
        <color theme="1"/>
        <sz val="9.0"/>
      </rPr>
      <t xml:space="preserve">
«PMO Inteligente: una PMO impulsada humanos y agentes IA»
/IN3/PD/MC/</t>
    </r>
  </si>
  <si>
    <r>
      <rPr>
        <rFont val="Arial"/>
        <b/>
        <color theme="1"/>
        <sz val="9.0"/>
      </rPr>
      <t>Alexander Páez (Paraguay)</t>
    </r>
    <r>
      <rPr>
        <rFont val="Arial"/>
        <color theme="1"/>
        <sz val="9.0"/>
      </rPr>
      <t xml:space="preserve">
«La inteligencia de lo vivo: gobernanza EIRA para proyectos regenerativos con inteligencia artificial»
/IN3/PB/MC/</t>
    </r>
  </si>
  <si>
    <t>latino</t>
  </si>
  <si>
    <t>Nov.20
[09:20-10:00]</t>
  </si>
  <si>
    <r>
      <rPr>
        <rFont val="Liberation Serif"/>
        <color rgb="FF1155CC"/>
        <u/>
      </rPr>
      <t>https://www.linkedin.com/in/steevenapazahinojosa?utm_source=share_via&amp;utm_content=profile&amp;utm_medium=member_ios</t>
    </r>
  </si>
  <si>
    <r>
      <rPr>
        <rFont val="Arial"/>
        <b/>
        <color theme="1"/>
        <sz val="11.0"/>
      </rPr>
      <t>Dr. Tony Prensa (EE. UU.)</t>
    </r>
    <r>
      <rPr>
        <rFont val="Arial"/>
        <color theme="1"/>
        <sz val="11.0"/>
      </rPr>
      <t xml:space="preserve">
«PMOVA: Una arquitectura para agregar valor empresarial»
/IN3/PA/MC/</t>
    </r>
  </si>
  <si>
    <r>
      <rPr>
        <rFont val="Arial"/>
        <b/>
        <color theme="1"/>
        <sz val="9.0"/>
      </rPr>
      <t>Gabriela Gutiérrez (EE. UU.)</t>
    </r>
    <r>
      <rPr>
        <rFont val="Arial"/>
        <color theme="1"/>
        <sz val="9.0"/>
      </rPr>
      <t xml:space="preserve">
«Liderazgo para Elevar la Gestión de Involucrados»
/IN3/PC/MC/</t>
    </r>
  </si>
  <si>
    <r>
      <rPr>
        <rFont val="Arial"/>
        <b/>
        <color theme="1"/>
        <sz val="11.0"/>
      </rPr>
      <t>Luz Alicia Acevedo Avila (Perú)</t>
    </r>
    <r>
      <rPr>
        <rFont val="Arial"/>
        <color theme="1"/>
        <sz val="11.0"/>
      </rPr>
      <t xml:space="preserve">
«De Project Manager a AI Project Leader: cómo los agentes de IA están transformando la gestión de proyectos»
/IN3/PB/MC/</t>
    </r>
  </si>
  <si>
    <t>Nov.21
[09:20-10:00]</t>
  </si>
  <si>
    <r>
      <rPr>
        <rFont val="Arial"/>
        <b/>
        <color theme="1"/>
        <sz val="11.0"/>
      </rPr>
      <t>Sergio Candelo (Argentina)</t>
    </r>
    <r>
      <rPr>
        <rFont val="Arial"/>
        <color theme="1"/>
        <sz val="11.0"/>
      </rPr>
      <t xml:space="preserve">
«Super PMs. Liderar con Alma en la era de la incertidumbre»
/IN2/PE/MC/</t>
    </r>
  </si>
  <si>
    <r>
      <rPr>
        <rFont val="Arial"/>
        <b/>
        <color theme="1"/>
        <sz val="11.0"/>
      </rPr>
      <t>Ariel Rizzi &amp; Emilse Kasem (Argentina)</t>
    </r>
    <r>
      <rPr>
        <rFont val="Arial"/>
        <color theme="1"/>
        <sz val="11.0"/>
      </rPr>
      <t xml:space="preserve">
«De la Legacy PMO a la SMART-IA PMO»
/IN3/PB/MC/</t>
    </r>
  </si>
  <si>
    <t>break</t>
  </si>
  <si>
    <t xml:space="preserve">PMP®, Scrum  máster -productor owner </t>
  </si>
  <si>
    <t>https://drive.google.com/open?id=1asyAcrzmgp0csxC8eDDagxcnb8pg-PiI</t>
  </si>
  <si>
    <t>Moderador: Luis Fernando Sanchez</t>
  </si>
  <si>
    <t>Moderador: Ivan Mendoza Moya</t>
  </si>
  <si>
    <t>Tour LATAM en cuatro países; PMP; 23 años de gerencia.</t>
  </si>
  <si>
    <r>
      <rPr>
        <rFont val="Arial"/>
        <b/>
        <color theme="1"/>
        <sz val="9.0"/>
      </rPr>
      <t>Carolina Herrera Solera (Colombia)</t>
    </r>
    <r>
      <rPr>
        <rFont val="Arial"/>
        <color theme="1"/>
        <sz val="9.0"/>
      </rPr>
      <t xml:space="preserve">
«De la IA al valor: decisiones, pilotos y escalamiento responsable en proyectos»
/IN2/PB/MC/</t>
    </r>
  </si>
  <si>
    <r>
      <rPr>
        <rFont val="Arial"/>
        <b/>
        <color theme="1"/>
        <sz val="9.0"/>
      </rPr>
      <t>Rómulo Lomparte (Perú)</t>
    </r>
    <r>
      <rPr>
        <rFont val="Arial"/>
        <color theme="1"/>
        <sz val="9.0"/>
      </rPr>
      <t xml:space="preserve">
«La importancia de empezar a gestionar el flujo de información»
/IN2/PE/MC/</t>
    </r>
  </si>
  <si>
    <t>Sergio Reynaldo Alcázar Antequera</t>
  </si>
  <si>
    <t>Bolivia</t>
  </si>
  <si>
    <t>Nov.20
[10:10-10:50]</t>
  </si>
  <si>
    <t xml:space="preserve">Las Personas hacen los Proyectos -2026 - Elvia Suárez - PMI Bajio Querétaro México 
Dirección de proyectos, La IA y las personas  2026 - Katherien Mayta - PMI sur Perú 
Liderazgo en proyectos 2026 - Katherien Mayta - PMI sur Perú 
proyectos 100% emocionales 2025 - Katherien Mayta - PMI sur Perú 
proyectos 100% emocionales 2024 Oscar carrasco - Pmi guayas 
proyectos 100% emocionales 2025 - o Antonio cruz  - Pmi nuevo Leon  </t>
  </si>
  <si>
    <r>
      <rPr>
        <rFont val="Arial"/>
        <b/>
        <color theme="1"/>
        <sz val="11.0"/>
      </rPr>
      <t>Eddi Rodas (Perú)</t>
    </r>
    <r>
      <rPr>
        <rFont val="Arial"/>
        <color theme="1"/>
        <sz val="11.0"/>
      </rPr>
      <t xml:space="preserve">
«PMO Inteligente: una PMO impulsada humanos y agentes IA»
/IN3/PD/MC/</t>
    </r>
  </si>
  <si>
    <r>
      <rPr>
        <rFont val="Arial"/>
        <b/>
        <color theme="1"/>
        <sz val="9.0"/>
      </rPr>
      <t>Ingrid Lucía Muñoz Periñán (Colombia)</t>
    </r>
    <r>
      <rPr>
        <rFont val="Arial"/>
        <color theme="1"/>
        <sz val="9.0"/>
      </rPr>
      <t xml:space="preserve">
«Tu organización es el cliente. Diseñando una PMO a la medida, potenciada con IA»
/IN3/PD/MC/</t>
    </r>
  </si>
  <si>
    <t xml:space="preserve">Docente de pregrado, maestrías y doctorados a nivel internacional y nacional 
Expositor en los últimos 5 congresos de proyectos en Bolivia
Expositor en congresos de proyectos de Colombia, Perú, México, Argentina, Ecuador 
Expositor internacional en temas  de liderazgo empresarial, dirección de proyectos y formación de equipos de alto rendimiento 
</t>
  </si>
  <si>
    <r>
      <rPr>
        <rFont val="Arial"/>
        <b/>
        <color theme="1"/>
        <sz val="11.0"/>
      </rPr>
      <t>Alexander Páez (Paraguay)</t>
    </r>
    <r>
      <rPr>
        <rFont val="Arial"/>
        <color theme="1"/>
        <sz val="11.0"/>
      </rPr>
      <t xml:space="preserve">
«La inteligencia de lo vivo: gobernanza EIRA para proyectos regenerativos con inteligencia artificial»
/IN3/PB/MC/</t>
    </r>
  </si>
  <si>
    <t>N</t>
  </si>
  <si>
    <r>
      <rPr>
        <rFont val="Arial"/>
        <b/>
        <color theme="1"/>
        <sz val="9.0"/>
      </rPr>
      <t>Shogun Shimose (Bolivia)</t>
    </r>
    <r>
      <rPr>
        <rFont val="Arial"/>
        <color theme="1"/>
        <sz val="9.0"/>
      </rPr>
      <t xml:space="preserve">
«PMO 4.0 &amp; Resiliencia Económica: Rediseñando la Gestión de Proyectos en Bolivia hacia la Eficiencia, Adaptabilidad y Generación de Valor»
/NN3/PA/MC/</t>
    </r>
  </si>
  <si>
    <t>Sesión Magistral (40 min)</t>
  </si>
  <si>
    <t>Nov.21
[10:10-10:50]</t>
  </si>
  <si>
    <t>B – Habilidades poderosas</t>
  </si>
  <si>
    <r>
      <rPr>
        <rFont val="Arial"/>
        <b/>
        <color theme="1"/>
        <sz val="11.0"/>
      </rPr>
      <t>Irina Valdez (México)</t>
    </r>
    <r>
      <rPr>
        <rFont val="Arial"/>
        <color theme="1"/>
        <sz val="11.0"/>
      </rPr>
      <t xml:space="preserve">
«La IA promete valor. La ejecución lo demuestra.»
/IN3/PA/MX/</t>
    </r>
  </si>
  <si>
    <r>
      <rPr>
        <rFont val="Arial"/>
        <b/>
        <color theme="1"/>
        <sz val="11.0"/>
      </rPr>
      <t>Gabriela Gutiérrez (EE. UU.)</t>
    </r>
    <r>
      <rPr>
        <rFont val="Arial"/>
        <color theme="1"/>
        <sz val="11.0"/>
      </rPr>
      <t xml:space="preserve">
«Liderazgo para Elevar la Gestión de Involucrados»
/IN3/PC/MC/</t>
    </r>
  </si>
  <si>
    <t>D – PMO (Gobernanza, Agile, Flywheel y Transformación Organizacional)</t>
  </si>
  <si>
    <t>B</t>
  </si>
  <si>
    <t>: Liderando proyectos complejos desde el calor humano en la era de los datos. EQ + IA = New PM</t>
  </si>
  <si>
    <t>A · B · CE</t>
  </si>
  <si>
    <t>Informar  cómo los directores de proyectos pueden integrar herramientas de Inteligencia Artificial para la predicción técnica sin descuidar el núcleo emocional del equipo, logrando que el bienestar humano y la gestión de stakeholders sean los verdaderos motores del éxito en proyectos complejos.</t>
  </si>
  <si>
    <r>
      <rPr>
        <rFont val="Arial"/>
        <b/>
        <color theme="1"/>
        <sz val="9.0"/>
      </rPr>
      <t>Gustavo Conejo (Costa Rica)</t>
    </r>
    <r>
      <rPr>
        <rFont val="Arial"/>
        <color theme="1"/>
        <sz val="9.0"/>
      </rPr>
      <t xml:space="preserve">
«Business Acumen en la Gestión de Proyectos: de gestionar proyectos a generar valor estratégico»
/IN2/PA/MC/</t>
    </r>
  </si>
  <si>
    <t>La segunda generación de IA en gestión de proyectos: auditar, reconstruir, documentar</t>
  </si>
  <si>
    <t>En un entorno corporativo donde la tecnología y la analítica avanzada dominan la toma de decisiones, el factor humano suele quedar relegado a un segundo plano. Esta ponencia explora cómo fusionar las capacidades predictivas de la Inteligencia Artificial con metodologías centradas en las emociones humanas, la motivación y la comunicación asertiva. A través de experiencia propia, se examina el rol del Project Manager no solo como un supervisor de indicadores, sino como un líder empático capaz de gestionar la incertidumbre y transformar la resistencia al cambio en compromiso colectivo.</t>
  </si>
  <si>
    <r>
      <rPr>
        <rFont val="Arial"/>
        <b/>
        <color theme="1"/>
        <sz val="9.0"/>
      </rPr>
      <t>Noel Rodríguez (Nicaragua, N2, B)</t>
    </r>
    <r>
      <rPr>
        <rFont val="Arial"/>
        <color theme="1"/>
        <sz val="9.0"/>
      </rPr>
      <t xml:space="preserve">
«Proyectos que no olvidan: gestión viva del contexto con OKF, RAG y Git»
/IN2/PB/MC/</t>
    </r>
  </si>
  <si>
    <t>Uso operativo de IA para auditar trabajo técnico y reconstruir documentación, con límites y validación humana.</t>
  </si>
  <si>
    <t>Gestión Híbrida Emocional, un modelo que contrasta con la visión fría de la automatización al postular que la inteligencia artificial no reemplaza al gestor, sino que es la herramienta que el humano usa, para potenciar la empatía, la resiliencia y la inteligencia emocional (EQ) en equipos de alto rendimiento.</t>
  </si>
  <si>
    <t xml:space="preserve">Ninguna </t>
  </si>
  <si>
    <t>+591 77200099</t>
  </si>
  <si>
    <t>https://drive.google.com/open?id=1xFceahycbOElhCP8Oznl0w6hQILWrPQu</t>
  </si>
  <si>
    <r>
      <rPr>
        <color rgb="FF1155CC"/>
        <u/>
      </rPr>
      <t>sergiolo.antequera@gmail.com</t>
    </r>
  </si>
  <si>
    <r>
      <rPr>
        <rFont val="Arial"/>
        <b/>
        <color theme="1"/>
        <sz val="9.0"/>
      </rPr>
      <t>Carlos Daniel Briceño Burgos (Perú)</t>
    </r>
    <r>
      <rPr>
        <rFont val="Arial"/>
        <color theme="1"/>
        <sz val="9.0"/>
      </rPr>
      <t xml:space="preserve">
«MAPA: de la Estructura del Desglose del Trabajo a la Estructura del Desglose del Valor»
/IN2/PA/MC/</t>
    </r>
  </si>
  <si>
    <r>
      <rPr>
        <rFont val="Arial"/>
        <b/>
        <color theme="1"/>
        <sz val="9.0"/>
      </rPr>
      <t>Tanyshka Lewis (EE. UU.)</t>
    </r>
    <r>
      <rPr>
        <rFont val="Arial"/>
        <color theme="1"/>
        <sz val="9.0"/>
      </rPr>
      <t xml:space="preserve">
«La Ciencia de los lideres que Transforman Proyecto»
/IN2/PC/MC/</t>
    </r>
  </si>
  <si>
    <t>almuerzo</t>
  </si>
  <si>
    <t>BREAK</t>
  </si>
  <si>
    <t>confirmado</t>
  </si>
  <si>
    <t>Nacional</t>
  </si>
  <si>
    <r>
      <rPr>
        <rFont val="Arial"/>
        <b/>
        <color theme="1"/>
        <sz val="9.0"/>
      </rPr>
      <t>Keynote de reapertura: Yaravi Cardoze (Panamá)</t>
    </r>
    <r>
      <rPr>
        <rFont val="Arial"/>
        <color theme="1"/>
        <sz val="9.0"/>
      </rPr>
      <t xml:space="preserve">
«Guías tácticas para implementación de IA agéntica en las organizaciones»
/IN4/PA/MC/</t>
    </r>
  </si>
  <si>
    <r>
      <rPr>
        <rFont val="Liberation Serif"/>
        <color rgb="FF1155CC"/>
        <u/>
      </rPr>
      <t>https://www.linkedin.com/in/sergiolo/</t>
    </r>
  </si>
  <si>
    <t>Nov.20
[11:00-11:40]</t>
  </si>
  <si>
    <r>
      <rPr>
        <rFont val="Arial"/>
        <b/>
        <color theme="1"/>
        <sz val="11.0"/>
      </rPr>
      <t>Enrique Aparicio (Bolivia)</t>
    </r>
    <r>
      <rPr>
        <rFont val="Arial"/>
        <color theme="1"/>
        <sz val="11.0"/>
      </rPr>
      <t xml:space="preserve">
«¿De dónde saldrá el próximo Project Manager senior? Rediseñando la carrera y el criterio experto frente a la IA agéntica»
/NN3/PA/MC/M4/</t>
    </r>
  </si>
  <si>
    <r>
      <rPr>
        <rFont val="Arial"/>
        <b/>
        <color theme="1"/>
        <sz val="11.0"/>
      </rPr>
      <t>Rómulo Lomparte (Perú)</t>
    </r>
    <r>
      <rPr>
        <rFont val="Arial"/>
        <color theme="1"/>
        <sz val="11.0"/>
      </rPr>
      <t xml:space="preserve">
«La importancia de empezar a gestionar el flujo de información»
/IN2/PE/MC/M4/</t>
    </r>
  </si>
  <si>
    <t>Nov.21
[11:00-11:40]</t>
  </si>
  <si>
    <r>
      <rPr>
        <rFont val="Arial"/>
        <b/>
        <color theme="1"/>
        <sz val="11.0"/>
      </rPr>
      <t>Ingrid Lucía Muñoz Periñán (Colombia)</t>
    </r>
    <r>
      <rPr>
        <rFont val="Arial"/>
        <color theme="1"/>
        <sz val="11.0"/>
      </rPr>
      <t xml:space="preserve">
«Tu organización es el cliente. Diseñando una PMO a la medida, potenciada con IA»
/IN3/PD/MC/M4/</t>
    </r>
  </si>
  <si>
    <t>sergiolo.antequera@gmail.com</t>
  </si>
  <si>
    <r>
      <rPr>
        <rFont val="Arial"/>
        <b/>
        <color theme="1"/>
        <sz val="11.0"/>
      </rPr>
      <t>Shogun Shimose (Bolivia)</t>
    </r>
    <r>
      <rPr>
        <rFont val="Arial"/>
        <color theme="1"/>
        <sz val="11.0"/>
      </rPr>
      <t xml:space="preserve">
«PMO 4.0 &amp; Resiliencia Económica: Rediseñando la Gestión de Proyectos en Bolivia hacia la Eficiencia, Adaptabilidad y Generación de Valor»
/NN3/PA/MC/M4/</t>
    </r>
  </si>
  <si>
    <t>sergio reynaldo alcazar antequera</t>
  </si>
  <si>
    <t>Blockfinityadvisors SRL</t>
  </si>
  <si>
    <t>Moderador: Nelson Flores</t>
  </si>
  <si>
    <t>https://www.blockfinityadvisors.com</t>
  </si>
  <si>
    <r>
      <rPr>
        <rFont val="Arial"/>
        <b/>
        <color theme="1"/>
        <sz val="9.0"/>
      </rPr>
      <t xml:space="preserve">Keynote de reapertura: Luis Guardado (El Salvador, N4)
</t>
    </r>
    <r>
      <rPr>
        <rFont val="Arial"/>
        <color theme="1"/>
        <sz val="9.0"/>
      </rPr>
      <t>titulo
/IN4/PA/MC/</t>
    </r>
  </si>
  <si>
    <t>Nov.20
[11:50-12:30]</t>
  </si>
  <si>
    <r>
      <rPr>
        <rFont val="Arial"/>
        <b/>
        <color theme="1"/>
        <sz val="11.0"/>
      </rPr>
      <t>Gustavo Conejo (Costa Rica)</t>
    </r>
    <r>
      <rPr>
        <rFont val="Arial"/>
        <color theme="1"/>
        <sz val="11.0"/>
      </rPr>
      <t xml:space="preserve">
«Business Acumen en la Gestión de Proyectos: de gestionar proyectos a generar valor estratégico»
/IN2/PA/MC/M4/</t>
    </r>
  </si>
  <si>
    <r>
      <rPr>
        <rFont val="Arial"/>
        <b/>
        <color theme="1"/>
        <sz val="9.0"/>
      </rPr>
      <t>Daniel Bustos Valdivieso (Bolivia)</t>
    </r>
    <r>
      <rPr>
        <rFont val="Arial"/>
        <color theme="1"/>
        <sz val="9.0"/>
      </rPr>
      <t xml:space="preserve">
«Nadie adopta una PMO por decreto: por qué mueren las PMO y cómo la transformación organizacional las hace sostenibles»
/NN3/PD/MC/</t>
    </r>
  </si>
  <si>
    <r>
      <rPr>
        <rFont val="Arial"/>
        <b/>
        <color theme="1"/>
        <sz val="11.0"/>
      </rPr>
      <t>Noel Rodríguez (Nicaragua, N2, B)</t>
    </r>
    <r>
      <rPr>
        <rFont val="Arial"/>
        <color theme="1"/>
        <sz val="11.0"/>
      </rPr>
      <t xml:space="preserve">
«Proyectos que no olvidan: gestión viva del contexto con OKF, RAG y Git»
/IN2/PB/MC/M4/</t>
    </r>
  </si>
  <si>
    <t>Sergio Reynaldo Alcázar Antequera es Ingeniero en Telecomunicaciones por la Universidad de Aquino Bolivia (2017), con formación complementaria en gestión de proyectos (Google Project Management Certification, IBM IT Scrum Master Professional, Scrum Foundation) y en aplicación de inteligencia artificial (Integración de IA Generativa en Estrategia Empresarial; IA Generativa Aplicada a la Educación — UNIR, España).
Cuenta con más de quince años liderando productos digitales y equipos multidisciplinarios en fintech, blockchain, telecomunicaciones e innovación tecnológica. Actualmente es Head of Projects &amp; Innovations en Blockfinity Advisors SRL, donde dirige la PMO y la cartera de productos tecnológicos de una entidad en proceso de adecuación institucional ETF→PSAV bajo regulación ASFI, articulando los frentes técnico, regulatorio, de producto y comercial. En este rol diseñó e implementó el modelo de células de desarrollo aumentadas con IA generativa, con gatekeeping humano obligatorio, junto a la introducción de prácticas de API contracts, Shift-Left Testing y CI/CD. Previamente fue Project Manager del Comité de Arquitectura en Digital Harbor y CTO de OloTech–SmartSpace, donde lideró el desarrollo end-to-end de un dispositivo de proyección adaptativa con capacidades de IA.
En docencia, fue Docente Universitario en la Universidad Privada de Bolivia (UPB) en la materia de ciclo de desarrollo de software (SDLC) para noveno semestre, y consultor formador en los programas de emprendimiento de CEMSE y ChildFund Bolivia. Es autor del libro De la Idea al Eureka: Cómo Transformar Conceptos en Productos Viables (2024) e inventor con registro de propiedad intelectual en Bolivia y solicitud de patente ante la USPTO (No. 63/223,531, "Proyección Adaptativa con Reconocimiento de Objetos basado en Deep Learning").
Distinciones de los últimos cinco años: Innovador Menor de 35 — MIT Technology Review LATAM (2022); Finalista del Premio Emprendedor INCAE (2022); primer lugar en "Emprende Ideas en Pandemia" (2021). jurado spaceapp NASA 2025</t>
  </si>
  <si>
    <r>
      <rPr>
        <rFont val="Arial"/>
        <b/>
        <color theme="1"/>
        <sz val="9.0"/>
      </rPr>
      <t>José Reyes Asto (Perú)</t>
    </r>
    <r>
      <rPr>
        <rFont val="Arial"/>
        <color theme="1"/>
        <sz val="9.0"/>
      </rPr>
      <t xml:space="preserve">
«Tiempo, costo y flujo: BIM 4D/5D, Lean e Inteligencia Artificial en la dirección de proyectos»
/IN3/PB/MC/</t>
    </r>
  </si>
  <si>
    <t>Nov.21
[11:50-12:30]</t>
  </si>
  <si>
    <r>
      <rPr>
        <rFont val="Arial"/>
        <b/>
        <color theme="1"/>
        <sz val="11.0"/>
      </rPr>
      <t>Carlos Daniel Briceño Burgos (Perú)</t>
    </r>
    <r>
      <rPr>
        <rFont val="Arial"/>
        <color theme="1"/>
        <sz val="11.0"/>
      </rPr>
      <t xml:space="preserve">
«MAPA: de la Estructura del Desglose del Trabajo a la Estructura del Desglose del Valor»
/IN2/PA/MC/M4/</t>
    </r>
  </si>
  <si>
    <r>
      <rPr>
        <rFont val="Arial"/>
        <b/>
        <color theme="1"/>
        <sz val="11.0"/>
      </rPr>
      <t>Tanyshka Lewis (EE. UU.)</t>
    </r>
    <r>
      <rPr>
        <rFont val="Arial"/>
        <color theme="1"/>
        <sz val="11.0"/>
      </rPr>
      <t xml:space="preserve">
«La Ciencia de los lideres que Transforman Proyecto»
/IN2/PC/MC/M4/</t>
    </r>
  </si>
  <si>
    <t>Oratoria mayormente no PMI; PMP en proceso.</t>
  </si>
  <si>
    <t>Rómulo Lomparte</t>
  </si>
  <si>
    <r>
      <rPr>
        <rFont val="Arial"/>
        <b/>
        <color theme="1"/>
        <sz val="9.0"/>
      </rPr>
      <t>Nelia María Ponte Vieira (Venezuela)</t>
    </r>
    <r>
      <rPr>
        <rFont val="Arial"/>
        <color theme="1"/>
        <sz val="9.0"/>
      </rPr>
      <t xml:space="preserve">
el Diamante PONTE para liderar proyectos que crean valor.
/IN2/PA/MC/</t>
    </r>
  </si>
  <si>
    <r>
      <rPr>
        <rFont val="Arial"/>
        <b/>
        <color theme="1"/>
        <sz val="9.0"/>
      </rPr>
      <t xml:space="preserve">Stalin Rivas (Rep. Dominicana)
</t>
    </r>
    <r>
      <rPr>
        <rFont val="Arial"/>
        <color theme="1"/>
        <sz val="9.0"/>
      </rPr>
      <t>«De asistentes a agentes: Transformando la dirección de proyectos mediante IA Agéntica»
/IN2/PB/MC/</t>
    </r>
  </si>
  <si>
    <t>E</t>
  </si>
  <si>
    <t>B · E · M</t>
  </si>
  <si>
    <t>La importancia de empezar a gestionar el flujo de información</t>
  </si>
  <si>
    <r>
      <rPr>
        <rFont val="Arial"/>
        <b/>
        <color theme="1"/>
        <sz val="9.0"/>
      </rPr>
      <t>Marco Antonio Arellano Hervoso (Bolivia)</t>
    </r>
    <r>
      <rPr>
        <rFont val="Arial"/>
        <color theme="1"/>
        <sz val="9.0"/>
      </rPr>
      <t xml:space="preserve">
«De la idea al valor: Gestión continua de valor y velocidad organizacional para maximizar los resultados empresariales»
/NN3/PD/MC/</t>
    </r>
  </si>
  <si>
    <t>Pasar del informe de estado al diseño de flujos de información por audiencia, canal y oportunidad.</t>
  </si>
  <si>
    <r>
      <rPr>
        <rFont val="Arial"/>
        <b/>
        <color theme="1"/>
        <sz val="9.0"/>
      </rPr>
      <t>Mónica Delsouc (Argentina)</t>
    </r>
    <r>
      <rPr>
        <rFont val="Arial"/>
        <color theme="1"/>
        <sz val="9.0"/>
      </rPr>
      <t xml:space="preserve">
«PIBPGPM Programa Internacional de buenas prácticas en Gestión de Proyectos Mineros»
/IN2/PA/MC/</t>
    </r>
  </si>
  <si>
    <t>ALMUERZO</t>
  </si>
  <si>
    <t>+51 999638080</t>
  </si>
  <si>
    <r>
      <rPr>
        <color rgb="FF1155CC"/>
        <u/>
      </rPr>
      <t>romulo.lomparte@yahoo.com</t>
    </r>
  </si>
  <si>
    <r>
      <rPr>
        <rFont val="Arial"/>
        <b/>
        <color theme="1"/>
        <sz val="9.0"/>
      </rPr>
      <t>Steeven Apaza (Perú)</t>
    </r>
    <r>
      <rPr>
        <rFont val="Arial"/>
        <color theme="1"/>
        <sz val="9.0"/>
      </rPr>
      <t xml:space="preserve">
«Liderando proyectos complejos desde el calor humano en la era de los datos. EQ + IA = New PM»
/IN3/PD/MC/</t>
    </r>
  </si>
  <si>
    <r>
      <rPr>
        <rFont val="Arial"/>
        <b/>
        <color theme="1"/>
        <sz val="9.0"/>
      </rPr>
      <t>René Neira Marín (Chile)</t>
    </r>
    <r>
      <rPr>
        <rFont val="Arial"/>
        <color theme="1"/>
        <sz val="9.0"/>
      </rPr>
      <t xml:space="preserve">
«Inteligencia Artificial para la Planificación y el Control de Proyectos»
/IN2/PB/MC/</t>
    </r>
  </si>
  <si>
    <t>https://www.linkedin.com/in/sergiolo/</t>
  </si>
  <si>
    <t>Nov.20
[14:00-14:40]</t>
  </si>
  <si>
    <r>
      <rPr>
        <rFont val="Arial"/>
        <b/>
        <color theme="1"/>
        <sz val="11.0"/>
      </rPr>
      <t>Keynote de reapertura: Yaravi Cardoze (Panamá)</t>
    </r>
    <r>
      <rPr>
        <rFont val="Arial"/>
        <color theme="1"/>
        <sz val="11.0"/>
      </rPr>
      <t xml:space="preserve">
«Guías tácticas para implementación de IA agéntica en las organizaciones»
/IN4/PA/MC/</t>
    </r>
  </si>
  <si>
    <t>Nov.21
[14:00-14:40]</t>
  </si>
  <si>
    <r>
      <rPr>
        <rFont val="Arial"/>
        <b/>
        <color theme="1"/>
        <sz val="11.0"/>
      </rPr>
      <t xml:space="preserve">Keynote de reapertura: Luis Guardado (El Salvador, N4)
</t>
    </r>
    <r>
      <rPr>
        <rFont val="Arial"/>
        <color theme="1"/>
        <sz val="11.0"/>
      </rPr>
      <t>titulo
/IN4/PA/MC/</t>
    </r>
  </si>
  <si>
    <r>
      <rPr>
        <rFont val="Liberation Serif"/>
        <color rgb="FF1155CC"/>
        <u/>
      </rPr>
      <t>https://www.linkedin.com/in/romulo-lomparte/</t>
    </r>
  </si>
  <si>
    <t>Especialización PMI (RMP, SP, PBA), ya tengo pagado el pmp me estoy preparando para dar el examen en octubre</t>
  </si>
  <si>
    <t>https://drive.google.com/open?id=1ZGDqhp-fbkyg8Sx4FzZO02DYQv0V8A3R</t>
  </si>
  <si>
    <r>
      <rPr>
        <rFont val="Arial"/>
        <b/>
        <color theme="1"/>
        <sz val="9.0"/>
      </rPr>
      <t>Luis Alberto Gutierrez Gutierrez (EE. UU.)</t>
    </r>
    <r>
      <rPr>
        <rFont val="Arial"/>
        <color theme="1"/>
        <sz val="9.0"/>
      </rPr>
      <t xml:space="preserve">
«De la estrategia a los resultados: cómo decidir qué iniciativas empezar, escalar o detener»
 /IN2/PA/MC/</t>
    </r>
  </si>
  <si>
    <r>
      <rPr>
        <rFont val="Arial"/>
        <b/>
        <color theme="1"/>
        <sz val="9.0"/>
      </rPr>
      <t>Jonatan Octavio Fierro Sáez (Chile)</t>
    </r>
    <r>
      <rPr>
        <rFont val="Arial"/>
        <color theme="1"/>
        <sz val="9.0"/>
      </rPr>
      <t xml:space="preserve">
«Gobernanza de IA en la dirección de proyectos: decidir antes de usar, validar antes de decidir»
/IN2/PB/MC/</t>
    </r>
  </si>
  <si>
    <t>Nov.20
[12:40-13:20]</t>
  </si>
  <si>
    <r>
      <rPr>
        <rFont val="Arial"/>
        <b/>
        <color theme="1"/>
        <sz val="11.0"/>
      </rPr>
      <t>Jorge Valdés Garciatorres (México)</t>
    </r>
    <r>
      <rPr>
        <rFont val="Arial"/>
        <color theme="1"/>
        <sz val="11.0"/>
      </rPr>
      <t xml:space="preserve">
«Sin Cambio no hay paraíso»
/IN2/PA/MC/M4/</t>
    </r>
  </si>
  <si>
    <r>
      <rPr>
        <rFont val="Arial"/>
        <b/>
        <color theme="1"/>
        <sz val="11.0"/>
      </rPr>
      <t>Carolina Herrera Solera (Colombia)</t>
    </r>
    <r>
      <rPr>
        <rFont val="Arial"/>
        <color theme="1"/>
        <sz val="11.0"/>
      </rPr>
      <t xml:space="preserve">
«De la IA al valor: decisiones, pilotos y escalamiento responsable en proyectos»
/IN2/PB/MC/M4/</t>
    </r>
  </si>
  <si>
    <r>
      <rPr>
        <rFont val="Arial"/>
        <b/>
        <color theme="1"/>
        <sz val="9.0"/>
      </rPr>
      <t>Iván José Mendoza Moya (Bolivia)</t>
    </r>
    <r>
      <rPr>
        <rFont val="Arial"/>
        <color theme="1"/>
        <sz val="9.0"/>
      </rPr>
      <t xml:space="preserve">
«Caos, incertidumbre y decisiones: el costo que ningún informe registra»
/NN2/PA/MC/</t>
    </r>
  </si>
  <si>
    <r>
      <rPr>
        <rFont val="Arial"/>
        <b/>
        <color theme="1"/>
        <sz val="9.0"/>
      </rPr>
      <t>Manuel Benítez Codas (Paraguay)</t>
    </r>
    <r>
      <rPr>
        <rFont val="Arial"/>
        <color theme="1"/>
        <sz val="9.0"/>
      </rPr>
      <t xml:space="preserve">
«IAG más allá de la herramienta»
/IN2/PB/MC/</t>
    </r>
  </si>
  <si>
    <t>Nov.21
[12:40-13:20]</t>
  </si>
  <si>
    <r>
      <rPr>
        <rFont val="Arial"/>
        <b/>
        <color theme="1"/>
        <sz val="11.0"/>
      </rPr>
      <t>Nelia María Ponte Vieira (Venezuela)</t>
    </r>
    <r>
      <rPr>
        <rFont val="Arial"/>
        <color theme="1"/>
        <sz val="11.0"/>
      </rPr>
      <t xml:space="preserve">
el Diamante PONTE para liderar proyectos que crean valor.
/IN2/PA/MC/M4/</t>
    </r>
  </si>
  <si>
    <r>
      <rPr>
        <rFont val="Arial"/>
        <b/>
        <color theme="1"/>
        <sz val="11.0"/>
      </rPr>
      <t xml:space="preserve">Stalin Rivas (Rep. Dominicana)
</t>
    </r>
    <r>
      <rPr>
        <rFont val="Arial"/>
        <color theme="1"/>
        <sz val="11.0"/>
      </rPr>
      <t>«De asistentes a agentes: Transformando la dirección de proyectos mediante IA Agéntica»
/IN2/PB/MC/M4/</t>
    </r>
  </si>
  <si>
    <t>Magister en Dirección de Negocios y Licenciado en Computación; con certificaciones PMP, CISA, CGEIT, CRISC, CISM, CDPSE, CSX, IRCA, IATCA, ISO 27002, CRMA, RWPC, COBIT Foundations, Coach, APMG Trainer, Scrum SFPC, ISO 20000, ISO 22301, ISO 27001, NIST. Con sólida y amplia experiencia de más de 30 años en empresas nacionales e internacionales del ámbito comercial, industrial y financiero en funciones de consultoría, auditoría, seguridad, ciberseguridad y desarrollo de proyectos de sistemas de información.
Estudios de pre-grado en la Universidad Nacional Mayor de San Marcos y de post-grado en la Universidad Peruana de Ciencias Aplicadas, Esan y la Universidad de Harvard.
Catedrático en escuelas de post-grado en diversas universidades. Con participación en ISACA International y otros organismos profesionales globales, donde se desempeñó como expositor e integrante de diversos comités especializados, tales como:
•	Presidente del Capítulo ISACA Lima
•	Expositor en Latin CACS y CEIC Las Vegas.
•	Miembro del Comité de Expertos sobre Cloud Computing – CSA
•	Líder de la Comunidad de Entrega de Valor de TI – Val IT
•	Experto Revisor de la publicación Journal
•	Miembro del Consejo de Gobernabilidad de Tecnologías de Información - ISACA
•	Decano del Colegio Nacional de Matemáticos
•	Líder de la Comunidad de TI del Capítulo PMI Lima
•	Miembro del Comité Consultivo ICACIT
Labora como Gerente General de ITG Consulting</t>
  </si>
  <si>
    <t>Credenciales de nivel 3; una sola presentación fechada.</t>
  </si>
  <si>
    <r>
      <rPr>
        <rFont val="Arial"/>
        <b/>
        <color theme="1"/>
        <sz val="9.0"/>
      </rPr>
      <t>Carlos Javier Ruiz Zapata (Bolivia)</t>
    </r>
    <r>
      <rPr>
        <rFont val="Arial"/>
        <color theme="1"/>
        <sz val="9.0"/>
      </rPr>
      <t xml:space="preserve">
«La PMO del Futuro: Cuando la Estrategia se come a la Cultura para el Almuerzo»
/NN2/PD/MC/PO/</t>
    </r>
  </si>
  <si>
    <t>Alexander Páez</t>
  </si>
  <si>
    <r>
      <rPr>
        <rFont val="Arial"/>
        <b/>
        <color theme="1"/>
        <sz val="9.0"/>
      </rPr>
      <t>Carlos Schellenberg (Uruguay)</t>
    </r>
    <r>
      <rPr>
        <rFont val="Arial"/>
        <color theme="1"/>
        <sz val="9.0"/>
      </rPr>
      <t xml:space="preserve">
«Cuando el proyecto es la IA: cómo gestionar proyectos de inteligencia artificial con el nuevo estándar de PMI y la metodología CPMAI»
/IN2/PB/MC/</t>
    </r>
  </si>
  <si>
    <t>Moderador: Mauricio Sanchez</t>
  </si>
  <si>
    <t>Paraguay</t>
  </si>
  <si>
    <t>"De la idea al prototipo con IA en 48 horas" — Hub Boliviano de Inteligencia Artificial. Esta es la más valiosa de todas: organizador externo, tema de IA, formato de webinario. La referencia sería quien coordinó el evento por parte del Hub. Me falta el año y la audiencia.
Taller sobre uso de Inteligencia Artificial — anunciado por Blockfinity Advisors. Necesito el título completo, el año y para quién fue (¿cliente, gremio, interno?). Si fue interno de la empresa, tiene poco peso ante el comité y la referencia sería Fritz; si fue para una organización externa, sube bastante.
Docencia en ciclo de desarrollo de software (SDLC) — Universidad Privada de Bolivia, 2024. No es una conferencia, pero es exposición sostenida ante audiencia académica y la referencia institucional es sólida: el coordinador o director de carrera que te contrató. Vale incluirla aclarando que fue docencia.
Talleres de planificación estratégica y modelo de negocio — programas "Pasanaku Emprendedor" y "Sembrando Ideas, Cosechando Emprendimientos", CEMSE y ChildFund Bolivia, 2025. Referencia: tu contraparte en CEMSE o en ChildFund. Estas dos organizaciones dan buena señal ante un comité.
Jurado en NASA Space Apps La Paz- 2025</t>
  </si>
  <si>
    <t>GMT-3</t>
  </si>
  <si>
    <t>En los últimos cinco años mi experiencia como expositor se ha desarrollado en tres frentes complementarios. En el ámbito académico, ejercí como docente de noveno semestre en la Universidad Privada de Bolivia en la materia de ciclo de desarrollo de software, donde diseñé y conduje un método de enseñanza basado en proyectos reales gestionados bajo metodologías ágiles. En el ámbito de formación profesional, diseñé y facilité talleres sobre planificación estratégica, análisis de mercado y modelos de negocio para los programas de emprendimiento de CEMSE y ChildFund Bolivia, acompañando procesos de ideación, prototipado y validación con Lean Startup y Design Thinking. En el ámbito de divulgación tecnológica, he expuesto sobre inteligencia artificial aplicada, incluyendo el webinario "De la idea al prototipo con IA en 48 horas" organizado por el Hub Boliviano de Inteligencia Artificial y talleres sobre uso de IA en entornos organizacionales. A esto se suma la exposición pública derivada del reconocimiento Innovadores Menores de 35 LATAM de MIT Technology Review (2022) y de la publicación del libro De la Idea al Eureka (2024), que han generado espacios de presentación y entrevistas sobre innovación y desarrollo de productos tecnológicos.</t>
  </si>
  <si>
    <t>Caso de Éxito (40 min)</t>
  </si>
  <si>
    <t>A – Maneras de trabajar</t>
  </si>
  <si>
    <t>Cierre oficial (QR de evaluación CSAT/NPS y corte de transmisión)</t>
  </si>
  <si>
    <t>B – IA aplicada a la Gestión y Dirección de Proyectos</t>
  </si>
  <si>
    <t>B · B · M</t>
  </si>
  <si>
    <t>La inteligencia de lo vivo: gobernanza EIRA para proyectos regenerativos con inteligencia artificial</t>
  </si>
  <si>
    <t>1. Diferenciar el uso asistencial de la IA (redactar, resumir, generar texto) del uso operativo en gestión de proyectos, estableciendo qué problemas de gestión resuelve cada uno.
2. Demostrar cómo la IA permite al director de proyectos auditar trabajo técnico fuera de su propia especialidad, revisando código, configuraciones y entregables para evaluar qué está bien hecho y qué no.
3. Mostrar el método para reconstruir documentación inexistente a partir de artefactos dispersos: código fuente, tickets, capturas de pantalla y registros del proyecto.
4. Exponer los límites reales de la herramienta: qué produce mal, qué inventa, y por qué la validación humana sigue siendo obligatoria en cada paso.</t>
  </si>
  <si>
    <t>Modelo EIRA de cuatro puertas para decidir cuándo usar, corregir o detener IA, con sostenibilidad (P5 v4.0).</t>
  </si>
  <si>
    <t>Resumen de la presentación
La mayoría de equipos usa IA de forma asistencial: redactar correos, resumir reuniones, generar texto. La sesión presenta el salto al uso operativo mediante dos casos reales de gestión: auditar el trabajo técnico de un rol que dejó el equipo sin documentación, revisando con IA el código y la configuración dejados para determinar qué estaba bien hecho y qué no; y reconstruir documentación inexistente a partir de artefactos dispersos (código, tickets de Jira, capturas de pantalla, registros del proyecto). Se expone también el lado incómodo: qué produjo mal la herramienta, qué inventó, y por qué cada entregable requirió validación humana antes de servir. Metodología: presentación con soporte visual, recorrido de ambos casos con ejemplos concretos y bloque de preguntas moderadas. Cuando esta sesión finalice, los participantes estarán aptos para auditar trabajo técnico fuera de su especialidad con apoyo de IA, reconstruir documentación crítica a partir de evidencia dispersa, y reconocer los puntos donde la herramienta falla y la validación humana es obligatoria.</t>
  </si>
  <si>
    <t>+595984759448</t>
  </si>
  <si>
    <t>Lo innovador no es la herramienta, que es IA generativa de uso comercial, sino el rol que se le asigna: pasar de generar contenido a servir como instrumento de auditoría y reconstrucción documental en gestión de proyectos. Se exponen dos métodos desarrollados en la práctica. El primero permite al director de proyectos evaluar trabajo técnico fuera de su especialidad, usando la IA para revisar código, configuraciones e infraestructura y traducir hallazgos técnicos a criterios de gestión: qué cumple estándares, qué representa riesgo y qué queda pendiente. El segundo reconstruye documentación inexistente a partir de artefactos dispersos, cruzando código fuente, tickets, capturas de pantalla y registros del proyecto para producir documentación técnica y funcional donde nunca hubo ninguna. Ambos métodos incorporan puntos de validación humana obligatoria, definidos a partir de errores concretos detectados durante su aplicación.</t>
  </si>
  <si>
    <t>Solicito la sesión de ensayo técnico previa para verificar compartición de pantalla y calidad de audio. Sin requerimientos adicionales.</t>
  </si>
  <si>
    <r>
      <rPr>
        <color rgb="FF1155CC"/>
        <u/>
      </rPr>
      <t>alex@proyecta.lat</t>
    </r>
    <r>
      <rPr>
        <color rgb="FF1F1F1F"/>
      </rPr>
      <t xml:space="preserve"> / pmi@alexanderpaez.com</t>
    </r>
  </si>
  <si>
    <t>https://drive.google.com/open?id=1dnm2sLpnIm63mluawFuIuQYlNoTMeWhF</t>
  </si>
  <si>
    <t>Nov.20
[14:50-15:30]</t>
  </si>
  <si>
    <r>
      <rPr>
        <rFont val="Arial"/>
        <b/>
        <color theme="1"/>
        <sz val="11.0"/>
      </rPr>
      <t>Daniel Bustos Valdivieso (Bolivia)</t>
    </r>
    <r>
      <rPr>
        <rFont val="Arial"/>
        <color theme="1"/>
        <sz val="11.0"/>
      </rPr>
      <t xml:space="preserve">
«Nadie adopta una PMO por decreto: por qué mueren las PMO y cómo la transformación organizacional las hace sostenibles»
/NN3/PD/MC/M4/</t>
    </r>
  </si>
  <si>
    <r>
      <rPr>
        <rFont val="Arial"/>
        <b/>
        <color theme="1"/>
        <sz val="11.0"/>
      </rPr>
      <t>José Reyes Asto (Perú)</t>
    </r>
    <r>
      <rPr>
        <rFont val="Arial"/>
        <color theme="1"/>
        <sz val="11.0"/>
      </rPr>
      <t xml:space="preserve">
«Tiempo, costo y flujo: BIM 4D/5D, Lean e Inteligencia Artificial en la dirección de proyectos»
/IN3/PB/MC/M4/</t>
    </r>
  </si>
  <si>
    <t>Nov.21
[14:50-15:30]</t>
  </si>
  <si>
    <r>
      <rPr>
        <rFont val="Arial"/>
        <b/>
        <color theme="1"/>
        <sz val="11.0"/>
      </rPr>
      <t>Steeven Apaza (Perú)</t>
    </r>
    <r>
      <rPr>
        <rFont val="Arial"/>
        <color theme="1"/>
        <sz val="11.0"/>
      </rPr>
      <t xml:space="preserve">
«Liderando proyectos complejos desde el calor humano en la era de los datos. EQ + IA = New PM»
/IN3/PD/MC/M4/</t>
    </r>
  </si>
  <si>
    <r>
      <rPr>
        <rFont val="Arial"/>
        <b/>
        <color theme="1"/>
        <sz val="11.0"/>
      </rPr>
      <t>Santiago Armas (Ecuador)</t>
    </r>
    <r>
      <rPr>
        <rFont val="Arial"/>
        <color theme="1"/>
        <sz val="11.0"/>
      </rPr>
      <t xml:space="preserve">
«BIM 4D y Digital Twin: Integrando Planificación, Construcción y Control»
/IN3/PB/MC/M4/</t>
    </r>
  </si>
  <si>
    <t>PILAR</t>
  </si>
  <si>
    <t>A – Creación de Valor y Estrategia</t>
  </si>
  <si>
    <r>
      <rPr>
        <rFont val="Liberation Serif"/>
        <color rgb="FF1155CC"/>
        <u/>
      </rPr>
      <t>https://www.linkedin.com/in/alexanderpaez/</t>
    </r>
  </si>
  <si>
    <t>gabrielgiraldon@gmail.com</t>
  </si>
  <si>
    <t>Alvaro Gabriel Giraldo Nisttahusz</t>
  </si>
  <si>
    <t>C – Liderazgo, Negociación e Innovación</t>
  </si>
  <si>
    <t>ATC Red Enlace / Subgerente de Planificación, Procesos y Proyectos</t>
  </si>
  <si>
    <t>https://www.redenlace.com.bo/</t>
  </si>
  <si>
    <t>Nov.20
[15:40-16:20]</t>
  </si>
  <si>
    <r>
      <rPr>
        <rFont val="Arial"/>
        <b/>
        <color theme="1"/>
        <sz val="11.0"/>
      </rPr>
      <t>Marco Antonio Arellano Hervoso (Bolivia)</t>
    </r>
    <r>
      <rPr>
        <rFont val="Arial"/>
        <color theme="1"/>
        <sz val="11.0"/>
      </rPr>
      <t xml:space="preserve">
«De la idea al valor: Gestión continua de valor y velocidad organizacional para maximizar los resultados empresariales»
/NN3/PD/MC/M4/</t>
    </r>
  </si>
  <si>
    <r>
      <rPr>
        <rFont val="Arial"/>
        <b/>
        <color theme="1"/>
        <sz val="11.0"/>
      </rPr>
      <t>Mónica Delsouc (Argentina)</t>
    </r>
    <r>
      <rPr>
        <rFont val="Arial"/>
        <color theme="1"/>
        <sz val="11.0"/>
      </rPr>
      <t xml:space="preserve">
«PIBPGPM Programa Internacional de buenas prácticas en Gestión de Proyectos Mineros»
/IN2/PA/MC/M4/</t>
    </r>
  </si>
  <si>
    <t>Nov.21
[15:40-16:20]</t>
  </si>
  <si>
    <t>D – PMO Gobernanza, Agile, Flywheel y Transformación Organizacional</t>
  </si>
  <si>
    <r>
      <rPr>
        <rFont val="Arial"/>
        <b/>
        <color theme="1"/>
        <sz val="11.0"/>
      </rPr>
      <t>Nathalie Fuentes Altez (Chile)</t>
    </r>
    <r>
      <rPr>
        <rFont val="Arial"/>
        <color theme="1"/>
        <sz val="11.0"/>
      </rPr>
      <t xml:space="preserve">
«PMO Consciente 2.0: Neurociencia, power skills y el efecto flywheel en la transformación organizacional»
/IN2/PD/MC/M4/</t>
    </r>
  </si>
  <si>
    <t>Alexander Páez se dedica a un oficio difícil de nombrar en una sola palabra: tomar una idea que quiere cambiar el mundo y darle cuerpo con método, aliados, recursos y resultados. Es docente universitario, consultor en desarrollo y asesor en impacto social del PMI Capítulo Asunción. En quince años de trabajo en Paraguay, Bolivia, Colombia, Guatemala, México y la República Democrática del Congo ha formulado y dirigido programas con USAID, la Unión Europea, la OMS/OPS, CBM y Rotary International que llegaron a más de doscientas mil personas.
De esos años, siete transcurrieron en Bolivia. Entre 2010 y 2017 dirigió desde La Paz proyectos de derechos humanos, sostenibilidad y desarrollo con equipos en Cochabamba, Sucre y Santa Cruz; condujo Best Buddies Bolivia; evaluó para la OPS/OMS los servicios de salud ocular del país y participó en el programa de ceguera evitable que construyó el programa nacional de salud ocular. También participó en Bolivia en diversas redes empresariales, incluyendo Cainco en donde fue keyspeaker en el primer congreso de sostenibilidad empresarial en el año 2013. 
Hoy es cofundador y Director de Estrategia de Proyecta EAS, y autor del modelo EIRA, una manera de usar la inteligencia artificial sin renunciar al criterio profesional enfocado en proyectos de regeneración y triple impacto, con la que ha formado equipos de MAKAIA y Ruta N en Colombia, de FAO Colombia y de CABINET en Paraguay. En Rotary preside el Comité de Subvenciones Globales del Distrito 4845, integra el Cadre of Technical Advisers de La Fundación Rotaria y coordina desde 2022 la Escuela de Proyectos PMI–Rotary: centenares de líderes voluntarios formados y cerca de dos millones de dólares convertidos en quirófanos, aulas y bancos de leche en Paraguay y el norte argentino.
Ha sido conferencista principal en el Congreso Internacional de Dirección de Proyectos del PMI Paraguay, en los congresos PMI de Medellín y Buenos Aires, en TIKSO Medellín, en el Congreso Mundial de Salud Pública en Ciudad de México y en la Universidad de Buenos Aires.
Es doctor en Innovación Educativa por el Tecnológico de Monterrey, magíster en Educación y en Dirección Estratégica, PMP, y cursa la Maestría en Regeneración y Desarrollo Sostenible en la Universidad de los Andes. La International Agency for the Prevention of Blindness lo nombró Eye Health Hero – Change Maker; Rotary International le concedió el Premio Rafael Ruiz por su aporte al desarrollo de proyectos en la región. Escribe, además, cuento y ensayo, y ha sido premiado por ambos: sostiene que detrás de cada indicador hay una historia, y que aprender a leerla es parte del oficio.</t>
  </si>
  <si>
    <r>
      <rPr>
        <rFont val="Arial"/>
        <b/>
        <color theme="1"/>
        <sz val="11.0"/>
      </rPr>
      <t>René Neira Marín (Chile)</t>
    </r>
    <r>
      <rPr>
        <rFont val="Arial"/>
        <color theme="1"/>
        <sz val="11.0"/>
      </rPr>
      <t xml:space="preserve">
«Inteligencia Artificial para la Planificación y el Control de Proyectos»
/IN2/PB/MC/M4/</t>
    </r>
  </si>
  <si>
    <t>PMI Asunción, PMI Buenos Aires y eventos internacionales; sin PMP.</t>
  </si>
  <si>
    <t>E – Excelencia en la Ejecución y Gestión del Desempeño)</t>
  </si>
  <si>
    <t>Jorge Valdés Garciatorres</t>
  </si>
  <si>
    <t>México</t>
  </si>
  <si>
    <t>GMT-6</t>
  </si>
  <si>
    <t>A</t>
  </si>
  <si>
    <t>A · A · M</t>
  </si>
  <si>
    <t>Sin Cambio no hay paraíso</t>
  </si>
  <si>
    <t>+59176225524</t>
  </si>
  <si>
    <t>Gestión del cambio como componente del proyecto: adopción, cultura y líderes informales.</t>
  </si>
  <si>
    <t>+525554562629</t>
  </si>
  <si>
    <t>Álvaro Gabriel Giraldo Nisttahusz es profesional boliviano especializado en planificación estratégica, gestión de proyectos y transformación organizacional. Es Ingeniero Comercial y obtuvo en 2020 el Master of Science in Business Administration de KU Leuven, Bélgica, en la Faculty of Economics and Business, formación orientada al análisis empresarial y la gestión con enfoque académico y científico.
Su trayectoria profesional se ha desarrollado en ámbitos vinculados con la planificación estratégica, gestión y dirección de proyectos, contando actualmente con experiencia en ATC. Su práctica profesional combina la gestión de iniciativas y equipos con enfoques orientados a resultados, transformación y generación de valor. Cuenta además con la certificación Project Management Professional (PMP®) y formación certificada en metodologías ágiles; el directorio oficial de Scrum Manager confirma su acreditación como miembro certificado. 
Su interés profesional y académico se concentra en la evolución de la dirección de proyectos hacia modelos orientados a resultados y creación de valor, la transformación del rol de las PMO, el liderazgo y la vinculación entre estrategia y ejecución.</t>
  </si>
  <si>
    <t>https://www.linkedin.com/in/gabriel-giraldo2025/</t>
  </si>
  <si>
    <t>Nov.20
[16:30-17:10]</t>
  </si>
  <si>
    <r>
      <rPr>
        <color rgb="FF1155CC"/>
        <u/>
      </rPr>
      <t>jorge.valdex@mx.proyectum.com</t>
    </r>
  </si>
  <si>
    <r>
      <rPr>
        <rFont val="Arial"/>
        <b/>
        <color theme="1"/>
        <sz val="11.0"/>
      </rPr>
      <t>Luis Alberto Gutierrez Gutierrez (EE. UU.)</t>
    </r>
    <r>
      <rPr>
        <rFont val="Arial"/>
        <color theme="1"/>
        <sz val="11.0"/>
      </rPr>
      <t xml:space="preserve">
«De la estrategia a los resultados: cómo decidir qué iniciativas empezar, escalar o detener»
 /IN2/PA/MC/M4/</t>
    </r>
  </si>
  <si>
    <r>
      <rPr>
        <rFont val="Arial"/>
        <b/>
        <color theme="1"/>
        <sz val="11.0"/>
      </rPr>
      <t>Jonatan Octavio Fierro Sáez (Chile)</t>
    </r>
    <r>
      <rPr>
        <rFont val="Arial"/>
        <color theme="1"/>
        <sz val="11.0"/>
      </rPr>
      <t xml:space="preserve">
«Gobernanza de IA en la dirección de proyectos: decidir antes de usar, validar antes de decidir»
/IN2/PB/MC/M4/</t>
    </r>
  </si>
  <si>
    <t>Confirmados</t>
  </si>
  <si>
    <t>Nov.21
[16:30-17:10]</t>
  </si>
  <si>
    <r>
      <rPr>
        <rFont val="Arial"/>
        <b/>
        <color theme="1"/>
        <sz val="11.0"/>
      </rPr>
      <t>Carlos Humberto Gómez (Colombia)</t>
    </r>
    <r>
      <rPr>
        <rFont val="Arial"/>
        <color theme="1"/>
        <sz val="11.0"/>
      </rPr>
      <t xml:space="preserve">
«Gobernanza de proyectos en grupos corporativos»
/IN2/PD/MC/M4/</t>
    </r>
  </si>
  <si>
    <r>
      <rPr>
        <rFont val="Arial"/>
        <b/>
        <color theme="1"/>
        <sz val="11.0"/>
      </rPr>
      <t>Antonio Maturano Huerta (Mexico)</t>
    </r>
    <r>
      <rPr>
        <rFont val="Arial"/>
        <color theme="1"/>
        <sz val="11.0"/>
      </rPr>
      <t xml:space="preserve">
«Innovar sin caos: cómo crear seguridad psicológica para que las ideas prosperen»
/IN2/PB/</t>
    </r>
  </si>
  <si>
    <t>Moderador: Luis Fernando Chavez</t>
  </si>
  <si>
    <t>CAPM®, PMP®</t>
  </si>
  <si>
    <t>https://drive.google.com/open?id=1E7MxvkrOoXfeJXgJUbS6LkeWWFlSlen-</t>
  </si>
  <si>
    <r>
      <rPr>
        <rFont val="Liberation Serif"/>
        <color rgb="FF1155CC"/>
        <u/>
      </rPr>
      <t>https://www.linkedin.com/in/jorgevaldex/</t>
    </r>
  </si>
  <si>
    <t>Nov.20
[17:20-18:00]</t>
  </si>
  <si>
    <r>
      <rPr>
        <rFont val="Arial"/>
        <b/>
        <color theme="1"/>
        <sz val="11.0"/>
      </rPr>
      <t>Carlos Javier Ruiz Zapata (Bolivia)</t>
    </r>
    <r>
      <rPr>
        <rFont val="Arial"/>
        <color theme="1"/>
        <sz val="11.0"/>
      </rPr>
      <t xml:space="preserve">
«La PMO del Futuro: Cuando la Estrategia se come a la Cultura para el Almuerzo»
/NN2/PD/MC/PPT/M4/</t>
    </r>
  </si>
  <si>
    <r>
      <rPr>
        <rFont val="Arial"/>
        <b/>
        <color theme="1"/>
        <sz val="11.0"/>
      </rPr>
      <t>Carlos Schellenberg (Uruguay)</t>
    </r>
    <r>
      <rPr>
        <rFont val="Arial"/>
        <color theme="1"/>
        <sz val="11.0"/>
      </rPr>
      <t xml:space="preserve">
«Cuando el proyecto es la IA: cómo gestionar proyectos de inteligencia artificial con el nuevo estándar de PMI y la metodología CPMAI»
/IN2/PB/MC/M4/</t>
    </r>
  </si>
  <si>
    <t>Nov.21
[17:20-18:00]</t>
  </si>
  <si>
    <r>
      <rPr>
        <rFont val="Arial"/>
        <b/>
        <color theme="1"/>
        <sz val="11.0"/>
      </rPr>
      <t>Iván José Mendoza Moya (Bolivia)</t>
    </r>
    <r>
      <rPr>
        <rFont val="Arial"/>
        <color theme="1"/>
        <sz val="11.0"/>
      </rPr>
      <t xml:space="preserve">
«Caos, incertidumbre y decisiones: el costo que ningún informe registra»
/NN2/PA/MC/M4/</t>
    </r>
  </si>
  <si>
    <t>N/A</t>
  </si>
  <si>
    <r>
      <rPr>
        <rFont val="Arial"/>
        <b/>
        <color theme="1"/>
        <sz val="11.0"/>
      </rPr>
      <t>Manuel Benítez Codas (Paraguay)</t>
    </r>
    <r>
      <rPr>
        <rFont val="Arial"/>
        <color theme="1"/>
        <sz val="11.0"/>
      </rPr>
      <t xml:space="preserve">
«IAG más allá de la herramienta»
/IN2/PB/MC/M4/</t>
    </r>
  </si>
  <si>
    <t>Expositor en medios de pago tanto en Universidades (UPB, UCB) con charlas cortas.</t>
  </si>
  <si>
    <t>Certificado como PMP; PST, SMC, OPMS
Experto en Gestión del Cambio Organizacional 
Maestría en Desarrollo Organizacional (INESPO) · Licenciatura en Administración (UVM)
Co-Fundador de Sistema Proyectum (2001–presente), con presencia en 12 países de América Latina
Director de Proyectum México  
Autor del libro El camino ágil hacia la PMO
Autor del modelo OPMS para evaluación de madurez en gestión de proyectos (Tesis de Maestría)
Diseño y Despliegue de Proyectos en 12 industrias
Más de 10,000 horas acumuladas como instructor y facilitador
Más de 150 conferencias internacionales desde 2005</t>
  </si>
  <si>
    <t>De gestionar proyectos a gestionar valor: el rol de la PMO en la transformación organizacional</t>
  </si>
  <si>
    <t>Comprender la evolución de la PMO desde un enfoque centrado en el control y cumplimiento de proyectos hacia un rol estratégico orientado a resultados, beneficios y generación de valor para la organización.
Analizar cómo la ubicación, el mandato y el nivel de influencia de la PMO dentro de la estructura organizacional condicionan su capacidad para conectar la ejecución de proyectos con las prioridades y objetivos estratégicos.
Identificar prácticas y criterios que permitan evolucionar hacia una PMO orientada a valor, incorporando la priorización estratégica del portafolio, la medición de resultados y beneficios, y la toma de decisiones basada en valor.</t>
  </si>
  <si>
    <t>PMP; 150+ conferencias sin eventos ni fechas.</t>
  </si>
  <si>
    <t>Ponencias recibidas</t>
  </si>
  <si>
    <t>La gestión de proyectos está evolucionando desde un enfoque tradicional centrado en el cumplimiento de alcance, tiempo y costo hacia una visión orientada a la generación de resultados, beneficios y valor para la organización. Esta transformación plantea nuevos desafíos para las Oficinas de Gestión de Proyectos (PMO), cuyo rol requiere trascender el seguimiento y control de iniciativas para convertirse en un articulador entre la estrategia y la ejecución.
El paper analiza cómo la ubicación de la PMO dentro de la estructura organizacional, su mandato y su nivel de influencia pueden condicionar su capacidad para generar valor. A partir de la evolución de la gestión de proyectos y del rol de las PMO, se propone distinguir diferentes niveles de madurez: desde una PMO enfocada en la ejecución y cumplimiento de proyectos, pasando por la gestión del portafolio y los resultados, hasta una PMO orientada a la gestión de valor.
Finalmente, se plantean criterios y prácticas para evolucionar hacia una PMO estratégica, capaz de contribuir a la priorización de iniciativas, conectar proyectos con objetivos organizacionales, medir beneficios y resultados, y facilitar decisiones sobre la asignación de recursos. El propósito es generar una reflexión práctica sobre una pregunta central: ¿nuestras PMO están diseñadas únicamente para gestionar proyectos o para asegurar que esos proyectos generen el valor esperado por la organización?</t>
  </si>
  <si>
    <t>Carlos Humberto Gómez</t>
  </si>
  <si>
    <t>Colombia</t>
  </si>
  <si>
    <t>“Distancia Organizacional al Valor”
El paper propone que la capacidad de una PMO para evolucionar de la gestión de proyectos hacia la gestión de valor no depende únicamente de su nivel de madurez, sino de su Distancia Organizacional al Valor: qué tan cerca está de los espacios donde se define la estrategia, se priorizan inversiones, se asignan recursos y se evalúan los resultados obtenidos.</t>
  </si>
  <si>
    <t>https://drive.google.com/open?id=1vZyrQQgjoFUP8I90jwuxLejtZRCcATVP</t>
  </si>
  <si>
    <t>Nov.20
[18:10-18:50]</t>
  </si>
  <si>
    <t>C · D · CE</t>
  </si>
  <si>
    <r>
      <rPr>
        <rFont val="Arial"/>
        <b/>
        <color theme="1"/>
        <sz val="11.0"/>
      </rPr>
      <t>Oscar Siles Chavez (Bolivia)</t>
    </r>
    <r>
      <rPr>
        <rFont val="Arial"/>
        <color theme="1"/>
        <sz val="11.0"/>
      </rPr>
      <t xml:space="preserve">
De la Ingeligencia Artificial: Una nueva Generacion de Modelos para evaluar la viabilidad tecnico/economica
/NN2/PB/</t>
    </r>
  </si>
  <si>
    <t>Gobernanza de proyectos en grupos corporativos</t>
  </si>
  <si>
    <r>
      <rPr>
        <rFont val="Arial"/>
        <b/>
        <color theme="1"/>
        <sz val="11.0"/>
      </rPr>
      <t>Sergio Reynaldo Alcázar Antequera (Bolivia)</t>
    </r>
    <r>
      <rPr>
        <rFont val="Arial"/>
        <color theme="1"/>
        <sz val="11.0"/>
      </rPr>
      <t xml:space="preserve">
«La segunda generación de IA en gestión de proyectos: auditar, reconstruir, documentar»
/NN2/PB/MC/M4/</t>
    </r>
  </si>
  <si>
    <t>Nov.21
[18:00-18:10]</t>
  </si>
  <si>
    <t>Caso de gobernanza de proyectos en un grupo de 12 empresas (desde 2011).</t>
  </si>
  <si>
    <t>+57 3155588787</t>
  </si>
  <si>
    <t>Keynote</t>
  </si>
  <si>
    <r>
      <rPr>
        <color rgb="FF1155CC"/>
        <u/>
      </rPr>
      <t>cahugomez@gmail.com</t>
    </r>
  </si>
  <si>
    <t>Internacional 3</t>
  </si>
  <si>
    <t>romulo.lomparte@yahoo.com</t>
  </si>
  <si>
    <t>Internacional 2</t>
  </si>
  <si>
    <t>ITG Consulting / Gerente General</t>
  </si>
  <si>
    <t>https://www.itgovconsulting.com/ - Consultora en apreas de gobierno de TI</t>
  </si>
  <si>
    <r>
      <rPr>
        <rFont val="Liberation Serif"/>
        <color rgb="FF1155CC"/>
        <u/>
      </rPr>
      <t>https://www.linkedin.com/in/carlos-humberto-gomez-cahugomez?utm_source=share_via&amp;utm_content=profile&amp;utm_medium=member_android</t>
    </r>
  </si>
  <si>
    <t>Moderador tecnico: Johnny Hurtado</t>
  </si>
  <si>
    <t>Nacional 3 2</t>
  </si>
  <si>
    <t>https://www.linkedin.com/in/romulo-lomparte/</t>
  </si>
  <si>
    <t>consultar horario maturano hecho</t>
  </si>
  <si>
    <t>TRIÁNGULO DEL TALENTO</t>
  </si>
  <si>
    <t>PMP®</t>
  </si>
  <si>
    <t>Toda la información la tengo actualizada en mi perfil https://www.linkedin.com/in/carlos-humberto-gomez-cahugomez?utm_source=share_via&amp;utm_content=profile&amp;utm_medium=member_android</t>
  </si>
  <si>
    <t>https://drive.google.com/open?id=1p2JIie8LRla3o3sEe_M-N26tJT93BzxZ</t>
  </si>
  <si>
    <t>Dos referencias sin año; biografía solo con enlace.</t>
  </si>
  <si>
    <t>C – Perspicacia en los negocios</t>
  </si>
  <si>
    <t>siles</t>
  </si>
  <si>
    <t>Carlos Javier Ruiz Zapata</t>
  </si>
  <si>
    <t>C · D · M</t>
  </si>
  <si>
    <t>La PMO del Futuro: Cuando la Estrategia se come a la Cultura para el Almuerzo</t>
  </si>
  <si>
    <t>facilitaadores comite, voluntarios</t>
  </si>
  <si>
    <t>PMO estratégica capaz de transformar la cultura organizacional, con base en la guía de PMO del PMI.</t>
  </si>
  <si>
    <t xml:space="preserve">"Lecciones para una buena PMO" - PMI Nuevo Cuyo - 2025 -Mónica Delsouc, +54 9 2615520529, president@pminuevocuyo.org 
</t>
  </si>
  <si>
    <t>Expositor en ISACA Latin CACS, CEIC Las Vegas y en congresos de diversas escuelas de postgrados</t>
  </si>
  <si>
    <t>E – Excelencia en la Ejecución y Gestión del Desempeño</t>
  </si>
  <si>
    <t>+59160940071</t>
  </si>
  <si>
    <t>moderador Shogun 6 sesiones, inicio, cierre hecho</t>
  </si>
  <si>
    <t>Diferenciar la elaboración tradicional de informes de estado de la gestión estratégica del flujo de información.
Identificar las necesidades de información de cada audiencia, considerando oportunidad, contenido, formato y canal.
Diseñar un flujo de información que entregue datos relevantes a las personas adecuadas, en el momento oportuno.</t>
  </si>
  <si>
    <r>
      <rPr>
        <color rgb="FF1155CC"/>
        <u/>
      </rPr>
      <t>carlos.ruiz@opexonlineacademy.org</t>
    </r>
  </si>
  <si>
    <t>Reconocer las limitaciones de los informes de estado tradicionales.
Identificar qué información necesita cada grupo de interesados y con qué frecuencia.
Diseñar un flujo de información basado en audiencia, propósito, canal y oportunidad.</t>
  </si>
  <si>
    <t>La propuesta innovadora consiste en dejar de considerar el informe de estado como el producto principal de la comunicación y comenzar a gestionar la información como un entregable del proyecto. Para ello, se presentará un modelo de gestión del flujo de información que parte de identificar las audiencias y definir qué necesitan saber, para qué decisión, en qué momento, mediante qué canal y con qué nivel de detalle.</t>
  </si>
  <si>
    <t>https://drive.google.com/open?id=1awz286dpSvL5FSW5cwCotz_e63QRcu0h</t>
  </si>
  <si>
    <t>moderador Luis fernando facilitador sabado toda la maniana luisfernando.torrico@gmail.com 77088873 hecho</t>
  </si>
  <si>
    <t>moderador Nelson sabado maniana hecho</t>
  </si>
  <si>
    <t>pptx</t>
  </si>
  <si>
    <r>
      <rPr>
        <rFont val="Liberation Serif"/>
        <color rgb="FF1155CC"/>
        <u/>
      </rPr>
      <t>https://www.linkedin.com/in/cjrz-mbb</t>
    </r>
  </si>
  <si>
    <t>pmi@alexanderpaez.com</t>
  </si>
  <si>
    <t>moderador Mauricio sabado en la tarde hecho</t>
  </si>
  <si>
    <t>Proyecta / Director de Estrategia</t>
  </si>
  <si>
    <t>alex@proyecta.lat</t>
  </si>
  <si>
    <t xml:space="preserve">Máster Black Belt, PMP®, PMI PMO-CP™
Visión Profesional: Crear Prosperidad con enfoque en resultados a través de la mejora de procesos, en desarrollar habilidades de liderazgo y gestión del cambio en los candidatos a las certificaciones internacionales. 
Experiencia:
Líder apasionado con más de 22 años de experiencia en empresas líderes de Bolivia como Banco Económico, Inpastas, Aseguradora Fortaleza, y empresas globales como Sirona Dental Systems, Coats plc y NICE Actimize entre las principales.  Desempañó funciones como Asesor de Operaciones y Agente de Cambio en dichas empresas.  Además, brindó asesorías en VIVA, Jalasoft, Indacochea Asociados y otras.
Resultados Obtenidos:
Proyectos exitosos que permitieron elevar la rentabilidad de las empresas y la moral de las personas.
Formación de Agentes de Cambio en las organizaciones donde participé
Acreditación Internacional para otorgar credenciales globales en Lean Six Sigma.
Educación
Licenciado en Administración de Empresas (2004) y Maestro en Sistemas de Calidad y Productividad (2014) titulado por el Tecnológico de Monterrey (ITESM).
Competencias:
Gestión de Lean y Manufactura Sostenible. (TPS)
Desarrollo y Despliegue de Estrategias. (Hoshin Kanri)
Sistemas de Gestión de Calidad.
Coaching y Desarrollo de Personas– Gestión de Recursos Humanos.
Solución de Problemas y Mejora Continua. (PDCA
Proyectos de mejora continua con base en Lean y Six Sigma.
Desarrollo de equipos de alto desempeño mediante capacitación y asesoramiento en proyectos de mejora continua.  
Profesional acreditado por el Council for Six Sigma Certification para formar y certificar Lean Six Sigma White, Yellow, Green, Black y Máster Black Belts.
Profesional acreditado por el Project Management Institute como Authorized Training Partner Instructor para los cursos de preparación de PMP®, PMI PMO-CP™ y CAPM®.
</t>
  </si>
  <si>
    <t>Una referencia (Tour LATAM 2025); PMP, PMO-CP.</t>
  </si>
  <si>
    <t>facilitador por sesion + 1 backup</t>
  </si>
  <si>
    <t>Noel Rodríguez</t>
  </si>
  <si>
    <t>Nicaragua</t>
  </si>
  <si>
    <t>https://www.linkedin.com/in/alexanderpaez/</t>
  </si>
  <si>
    <t>A · B · M</t>
  </si>
  <si>
    <t>Anabel Domínguez</t>
  </si>
  <si>
    <t>Proyectos que no olvidan: gestión viva del contexto con OKF, RAG y Git</t>
  </si>
  <si>
    <t>modeador Shogun facilitar 4 keynote hecho</t>
  </si>
  <si>
    <t>Memoria de proyecto versionada y trazable para evitar pérdida de contexto y retrabajo.</t>
  </si>
  <si>
    <t>keynote</t>
  </si>
  <si>
    <t>+505 77141105</t>
  </si>
  <si>
    <t>España</t>
  </si>
  <si>
    <r>
      <rPr>
        <color rgb="FF1155CC"/>
        <u/>
      </rPr>
      <t>nrodriguez@tetraimpacts.com</t>
    </r>
  </si>
  <si>
    <t>moderador shogun sesion luis gutierrez, antonio maturano hecho</t>
  </si>
  <si>
    <t>+34 682701176</t>
  </si>
  <si>
    <r>
      <rPr>
        <color rgb="FF1155CC"/>
        <u/>
      </rPr>
      <t>adominguez@beinn.es</t>
    </r>
  </si>
  <si>
    <t>Disciplined Agile avanzada (DAC, DAVSC), Especialización PMI (RMP, SP, PBA)</t>
  </si>
  <si>
    <t>https://drive.google.com/open?id=1kydZrxTXMk2hjN-wROKq9-euh4h5yejp</t>
  </si>
  <si>
    <t>moderador Luis fernando sesiones viernes canal B 17:30 hecho</t>
  </si>
  <si>
    <r>
      <rPr>
        <rFont val="Liberation Serif"/>
        <color rgb="FF1155CC"/>
        <u/>
      </rPr>
      <t>https://www.linkedin.com/in/noel-rodriguez-tetraimpacts?utm_source=share_via&amp;utm_content=profile&amp;utm_medium=member_ios</t>
    </r>
  </si>
  <si>
    <t>PMI Latam Congress 2026, PMI Madrid 2023, EDD25; PMP.</t>
  </si>
  <si>
    <t>Danilo y Brenda facilitadores a programar</t>
  </si>
  <si>
    <t>Anabel Domínguez es Ingeniera Informática por la Universidad de Extremadura y Project Management Professional (PMP) certificada por el Project Management Institute. Ha cursado el Máster Ejecutivo en Inteligencia Artificial en el Instituto de Inteligencia Artificial (2024-2025), el Executive Master in International Business en ESIC Business &amp; Marketing School, el Curso Avanzado en Dirección Estratégica en Extremadura Business School-ESADE y el Curso Avanzado en Gestión de la Innovación en la Universitat Oberta de Catalunya. Cuenta también con un Máster en Psicología Positiva y Salud Emocional.
Su trayectoria profesional supera los veinte años dirigiendo proyectos y equipos técnicos. Ha sido responsable de sistemas en el sector sanitario, project manager de proyectos de desarrollo de software, consultora manager en proyectos tecnológicos y turísticos, directora gerente del Clúster TIC de Extremadura y directora gerente de una spin-off tecnológica de la Universidad de Extremadura. En 2011 fundó BeiNN, empresa de desarrollo del liderazgo técnico y gestión de proyectos que trabaja con organizaciones de ingeniería, industria e innovación en España y Latinoamérica, y donde ha desarrollado una metodología propia de desarrollo profesional del líder de proyectos. Entre 2023 y 2024 fue Directora General de Turismo de la Junta de Extremadura.
En el ámbito docente, impartió metodologías de gestión de proyectos y preparación a la certificación CAPM en el Máster Universitario en Ingeniería Informática de la Universidad de Castilla-La Mancha entre 2014 y 2018. Es consultora, formadora y mentora homologada por la Escuela de Organización Industrial desde 2019, y durante ocho años formó en habilidades directivas y gestión de proyectos en el Servicio Extremeño de Salud. Más de 350 profesionales han pasado por sus programas.
En investigación e innovación ha dirigido proyectos de I+D+i, puso en marcha el Clúster TIC de Extremadura, fue tutora del programa Innocámara de la Cámara de Comercio de Cáceres y coordinó el centro YUZZ de la Fundación Banesto en Cáceres.
Como expositora interviene habitualmente en congresos profesionales y en organizaciones del sector tecnológico e industrial. En 2026 participa como ponente en la PMI Latam Conference. Entre 2014 y 2017 fue Branch Leader del PMI en Extremadura y Castilla-La Mancha. Es cofundadora de Tech&amp;Her y de Red MIA, iniciativas de visibilización del talento femenino en tecnología e inteligencia artificial. BeiNN fue reconocida con el premio a la mejor empresa tecnológica liderada por una mujer en 2016 y 2017.</t>
  </si>
  <si>
    <t>De Project Manager técnico a Project Manager directivo</t>
  </si>
  <si>
    <t>Transición del mejor técnico al rol directivo, con método propio de liderazgo.</t>
  </si>
  <si>
    <t>B · A · M</t>
  </si>
  <si>
    <t>COMUNICAR NUEVOS HORARIOS</t>
  </si>
  <si>
    <t>Yaravi Cardoze</t>
  </si>
  <si>
    <t>1. Movilización de recursos para el desarrollo social
Conferencia principal · Congreso Internacional de Dirección de Proyectos, PMI Capítulo Asunción (Paraguay) · 2023
Referencia: Alexandra Cáceres, PMI Capítulo Asunción · +595 985 279404
2. Taller de creación de proyectos de desarrollo social
Taller · Congreso Internacional de Dirección de Proyectos, PMI Capítulo Asunción (Paraguay) · 2024
Referencia: Alexandra Cáceres, PMI Capítulo Asunción · +595 985 279404
3. Desarrollo de proyectos sociales de impacto
Conferencia · Congreso Internacional de Dirección de Proyectos Tour PMI Buenos Aires «Innovar hoy para impactar el mañana», PMI Capítulo Buenos Aires (Argentina) · 6 de noviembre de 2024
Referencia: Carolina Rondolini, Presidenta del Capítulo 2024 (firma tu certificado) · correo institucional @pmi.org.ar
4. Aplicación efectiva a convocatorias: inteligencia artificial en el desarrollo de proyectos
Taller · Tikso 2024, Tecnología e Innovación para el Impacto Social, Corporación Makaia · Medellín, Colombia · 25 de septiembre de 2024
Referencia: Carolina Soto, Makaia · carolina.soto@makaia.org (o Anuar Hernández Anaya, líder de movilización de recursos de Makaia)
5. Paraguay en la agenda 2030 IN SIGHT: coordinación nacional para la salud ocular universal
Ponencia · 2030 IN SIGHT LIVE, International Agency for the Prevention of Blindness (IAPB) · Ciudad de México · 25–27 de junio de 2024
Referencia: Olivia Gómez, Directora de Programas, Fundación Visión · +595 981 622915 · oliviag@fundacion-vision.org.py</t>
  </si>
  <si>
    <t>Panamá</t>
  </si>
  <si>
    <t xml:space="preserve">Creo que es la misma pregunta que he respondido en el espacio anterior. Si se refieren a algo diferente, por favor, coméntenme para enviarles la mejor información posible. </t>
  </si>
  <si>
    <t>+507 66122078</t>
  </si>
  <si>
    <r>
      <rPr>
        <color rgb="FF1155CC"/>
        <u/>
      </rPr>
      <t>yaravi@BoD-Advisors.com</t>
    </r>
  </si>
  <si>
    <t>Noel Rodríguez es Arquitecto de Software Principal y Director de Tecnología de la Información en Tetraimpacts. Matemático puro de formación, licenciado por la Universidad de La Habana, cuenta además con un MBA en Gestión de Proyectos de Inteligencia Artificial. Su perfil integra pensamiento analítico, arquitectura de software y dirección estratégica de proyectos tecnológicos complejos.
Su experiencia internacional incluye proyectos para organizaciones como Citi, The RealReal y SambaNova, que le han permitido trabajar con estándares propios de los ecosistemas tecnológicos de vanguardia de Silicon Valley, especialmente en arquitectura de soluciones, escalabilidad, inteligencia artificial, seguridad y entrega de productos digitales.
En el sector público, ha liderado la arquitectura y entrega técnica de iniciativas de transformación digital de alcance nacional. Entre ellas destaca la automatización de procesos clave de recursos humanos para el Ministerio de Educación de Nicaragua, desarrollada en el marco de un proyecto de UNOPS. Su trayectoria también comprende proyectos para la Corte Suprema de Texas, en Estados Unidos.
Su enfoque combina el rigor de las matemáticas, la visión integral de la arquitectura de software y las prácticas de gestión de proyectos para convertir desafíos institucionales y empresariales en soluciones seguras, escalables, sostenibles y orientadas a resultados.</t>
  </si>
  <si>
    <t>Al finalizar la sesión, los participantes podrán:
(a) Formular la doble pregunta ante cualquier iniciativa con IA —qué aporta la IA al propósito del proyecto y si la propia IA es sostenible—, aplicando los principios de valor estratégico, gobernanza y cumplimiento, calidad del dato y ética y responsabilidad profesional del Standard for Artificial Intelligence in Portfolio, Program, and Project Management del PMI (2026).
(b) Aplicar las cuatro puertas EIRA —Evaluación, Integración, Reflexión y Aplicación— a un proyecto propio, con pregunta, evidencia mínima y decisión explícita en cada una, incluida la decisión de no usar IA o de detenerla, como traducción operativa de los dominios de desempeño del estándar de IA del PMI y del marco de riesgos de IA del NIST.
(c) Evaluar un proyecto con las tres pruebas regenerativas —lugar, capacidad y huella— en coherencia con el PMI GPM P5 Standard for Sustainability in Project Management v4.0 (2026), que amplía la sostenibilidad hacia resultados netos positivos y regeneración e incorpora la gobernanza de la IA en la cadena de valor del proyecto.</t>
  </si>
  <si>
    <t>Charlas corporativas sin eventos PMI; sin certificación PMI.</t>
  </si>
  <si>
    <t>creadion pdu 20</t>
  </si>
  <si>
    <t>Más del 80 % de los proyectos de inteligencia artificial fracasa, no por el modelo, sino por fallas de gobernanza: ausencia de línea de base, responsables del dato, supervisión humana y criterios de detención.
La sesión vincula el estándar de inteligencia artificial del PMI con el P5 v4.0 para integrar gobernanza, sostenibilidad y regeneración en la dirección de proyectos.
Mediante las cuatro puertas EIRA —Evaluación, Integración, Reflexión y Aplicación— y las pruebas de lugar, capacidad y huella, los estudiantes analizarán cuándo usar IA, corregirla o detenerla.
La metodología combina una exposición breve, encuestas interactivas en AhaSlides y un tablero de Miro que permite aplicar el modelo al flujo completo de un proyecto.
Cuando esta sesión finalice, los estudiantes estarán aptos para tomar decisiones sobre IA con evidencia y verificar que cada proyecto deje a la organización y al territorio más capaces de lo que los encontró.</t>
  </si>
  <si>
    <t>Luz Alicia Acevedo Avila</t>
  </si>
  <si>
    <t>La innovación consiste en articular transversalmente la dirección de proyectos, la gobernanza de la inteligencia artificial y el modelo de sostenibilidad P5 v4.0 durante el ciclo de vida del proyecto. EIRA-Proyectos convierte esta articulación en una herramienta práctica de decisión mediante cuatro puertas —Evaluación, Integración, Reflexión y Aplicación— y tres pruebas regenerativas: lugar, capacidad y huella. Su aplicación permite al profesional de proyectos comprobar y fortalecer las competencias del Triángulo del Talento del PMI —formas de trabajar, habilidades de poder y perspicacia empresarial— mientras integra valor, riesgo, ética, supervisión humana y sostenibilidad en sus decisiones. La propuesta se concreta en una ficha de aplicación inmediata, encuestas en AhaSlides y un tablero de Miro.</t>
  </si>
  <si>
    <t>PMP y ex presidenta de PMI Panamá; keynotes sin itemizar.</t>
  </si>
  <si>
    <t>Se solicita autorización para utilizar AhaSlides en dos momentos de interacción y compartir en pantalla un tablero de Miro. También se propone que, después de la sesión, el capítulo distribuya entre los asistentes la ficha EIRA y el enlace al tablero, con el logotipo de PMI Bolivia si lo considera pertinente. Será necesario realizar un ensayo técnico previo para comprobar la conexión, la pantalla compartida y la reproducción de un video breve.</t>
  </si>
  <si>
    <t>https://drive.google.com/open?id=1qr1r6zuZGG5v9QdvVr6LAjAruoZgZHMd</t>
  </si>
  <si>
    <t>B · B · CE</t>
  </si>
  <si>
    <t>De Project Manager a AI Project Leader: cómo los agentes de IA están transformando la gestión de proyectos</t>
  </si>
  <si>
    <t>Evolución al perfil AI Project Leader, con demostración en vivo de un agente de IA (100 % virtual).</t>
  </si>
  <si>
    <t>Yaravi se especializa en empoderar a Consejos Directivos, Propietarios y CEOs en transformaciones estratégicas y decisiones críticas que impulsan el crecimiento sostenible. Aporta una perspectiva de alto nivel y soluciones accionables para optimizar la gobernanza corporativa, expandir mercados y gestionar riesgos en empresas con presencia en EE. UU., Hispanoamérica, Europa y Brasil. Su enfoque está en desbloquear el potencial estratégico de las organizaciones y guiar a sus líderes hacia el éxito a largo plazo. Adicionalmente, les apoya en su transición hacia rutas aceleradas de transformación organizacional, digital y en inteligencia artificial.
Posee una licenciatura en Informática, así como un MBA y certificaciones PMP, y ha completado especializaciones en:
*Transformación Organizacional en la Universidad de Berkeley, HaaS College.
*Transformación Digital e Industria 4.0 en la Universidad de Virginia.
*AI and the Future of Work and Organizations en la Universidad de Lund, Suecia.
*Boards of Directors within the Governance Process, de la Universidad de Buffalo, NYC
Su trayectoria profesional incluye la dirección y liderazgo de equipos de transformación, en el ámbito latinoamericano y a nivel global en empresas del Fortune 500, startups, ONGs y entre otras.. En estos roles orquestó estrategias y programas enfocados en la transformación cultural, la disrupción de competencias organizacionales, la creación de nuevas líneas de negocio y la penetración de mercados.
También ha liderado programas de transformación digital y de personas, orientados a la digitalización, automatización, AI, Big Data, Machine Learning, Citizen Development, entre otros. En su rol como Chief Digital Officer (CDO) del Canal de Panamá, diseñó y puso en ejecución la ruta de transformación digital y de negocio de esta organización.
En el 2023 fue elegida Chief Digital Officer of the Year, de Latinoamérica y uno de los Top 50 Líderes Más Influyentes de RRHH 2025, por su extraordinaria capacidad para inspirar, conectar y transformar.
Además, es afiliada del PMI (Project Management Institute©) desde hace más de 15 años, presidenta del Capítulo de Panamá 2016-2018 y es graduada del Máster Class Global de PMI.  Fue la mentora regional de PMI para LATAM 2021-2024 y candidata al BoD 2024-2026; hoy embajadora y miembro del comité global de cultura e inclusión de PMI. Es fundadora de comunidades como @Agiles Panamá, Women in Agile, Data Science Community, Heart of Agile Panamá y es jurado de los PMO (Project, Program, Portfolio Management Office) Global Awards. Fue escogida como ¨most inspiring women¨ en 2017 y en 2022 fue reconocida por el Worldwide Women Association por su trayectoria profesional.
Colaboró de manera voluntaria como asesora de la oficina de proyectos de la arquidiócesis de Panamá para la JMJ Panamá 2019 durante la planificación y ejecución del evento.
Ha sido Keynote Speaker de eventos en Brasil, Hong Kong, Kenia, Bangladesh, Uganda, UAE, México, Perú, Argentina, República Dominicana, España, Canadá, Estados Unidos, Pakistán, Ghana, Taiwán, Corea e India. Es co-autora del Best Seller: Liderazgo Femenino en Latinoamérica.</t>
  </si>
  <si>
    <t>cartas de Shogun a rectores hecho</t>
  </si>
  <si>
    <t>+51 922083912</t>
  </si>
  <si>
    <t>Guías tácticas para implementación de IA agéntica en las organizaciones</t>
  </si>
  <si>
    <t>Prioridades para implementar IA agéntica como motor de valor.</t>
  </si>
  <si>
    <t>C · A · M</t>
  </si>
  <si>
    <r>
      <rPr>
        <color rgb="FF1155CC"/>
        <u/>
      </rPr>
      <t>lacevedoa@unitru.edu.pe</t>
    </r>
  </si>
  <si>
    <t>Luis Guardo</t>
  </si>
  <si>
    <t>El Salvador</t>
  </si>
  <si>
    <t>Jorge.valdex@mx.proyectum.com</t>
  </si>
  <si>
    <t>Proyectum México, Country Manager</t>
  </si>
  <si>
    <t>luisantonio.guardadorivera@concentrix.com</t>
  </si>
  <si>
    <t>www.proyectum.com/mx</t>
  </si>
  <si>
    <t>Vice President – PMO Americas &amp; Global Governance</t>
  </si>
  <si>
    <r>
      <rPr>
        <rFont val="Liberation Serif"/>
        <color rgb="FF1155CC"/>
        <u/>
      </rPr>
      <t>https://www.linkedin.com/in/aliciaacevedoavila/</t>
    </r>
  </si>
  <si>
    <t>Dr. Tony Prensa</t>
  </si>
  <si>
    <t>Estados Unidos (por confirmar)</t>
  </si>
  <si>
    <t>+1 407-361-1402</t>
  </si>
  <si>
    <r>
      <rPr>
        <color rgb="FF1155CC"/>
        <u/>
      </rPr>
      <t>drtonyprensa@gmail.com</t>
    </r>
  </si>
  <si>
    <t>Soy Ingeniera Industrial, especialista en gestión de proyectos, PMO, transformación digital, Data e Inteligencia Artificial, con formación especializada en gestión estratégica, Agile, PMO, transformación digital, Data Analytics e IA. Cuento con certificaciones PMP®, PM4R, PRINCE2® e ITIL® AI Governance de PeopleCert.
Actualmente me desempeño como Head PMO | Data &amp; AI en Banco Santander Perú, donde lidero iniciativas estratégicas de Data, Inteligencia Artificial y transformación digital. Cuento con experiencia en dirección de proyectos tecnológicos, automatización, transformación digital, implementación de soluciones empresariales y gestión de portafolios.
He desarrollado una trayectoria como docente, mentora y expositora en gestión de proyectos, PMO, innovación, transformación digital e Inteligencia Artificial, participando en programas de formación de instituciones como DMC Perú, WE Educación Ejecutiva, VISIVA, Universidad Continental, Escuela Global, InLearning Institute y PMI Perú Chapter, entre otras. Asimismo, he sido expositora en congresos estudiantiles y eventos profesionales como Thinking Out Loud, Leader Training y CEPMI de PMI Perú, además de participar como jurado en competencias de gestión de proyectos vinculadas a IPMA y PMI.
Como mentora, he acompañado proyectos de innovación y emprendimiento en espacios como HUB UDEP, Wichay de Universidad Continental y la Universidad Norbert Wiener de Perú. También formo parte del equipo voluntario de PMO Global Alliance (PMOGA), en Knowledge &amp; Learning LATAM, y de la comunidad de TI y Agilidad de PMI Lima Perú.
Soy Embajadora LATAM de PeopleCert para sus certificaciones PRINCE2®, DevOps e ITIL®, promoviendo el desarrollo de competencias y conocimiento profesional en gestión, tecnología, transformación y buenas prácticas a nivel regional. Y, en investigación y generación de conocimiento, he participado como revisora y contribuyente en la preparación oficial de publicaciones y materiales relacionados con frameworks de gestión y servicios de TI como DevOps, ITIL® AI Governance e ITIL® Transformation.
Entre mis principales reconocimientos de los últimos cinco años se encuentra el PMI Awards Perú 2023, obtenido por liderar un proyecto de transformación digital e Inteligencia Artificial para la automatización de Créditos y Cobranzas en Unilever Perú. Asimismo, he obtenido capital semilla de ProInnóvate Perú por liderar un proyecto desarrollado con Inteligencia Artificial, fortaleciendo mi experiencia en innovación y creación de soluciones tecnológicas con impacto empresarial.</t>
  </si>
  <si>
    <t>jorge.valdex@mx.proyectum.com</t>
  </si>
  <si>
    <t>20+ presentaciones 2024–2026; PMP; Head PMO en Santander.</t>
  </si>
  <si>
    <t>Presentaciones IEOM 2024–2026; PMP, PMO-CP; 40 años.</t>
  </si>
  <si>
    <t>Jonatan Octavio Fierro Sáez</t>
  </si>
  <si>
    <t>Chile</t>
  </si>
  <si>
    <t>https://www.linkedin.com/in/jorgevaldex/</t>
  </si>
  <si>
    <t>El Dr. Tony Prensa es doctor en Administración, con especialización en Liderazgo Organizacional, y fundador y CEO de TP Global Business Consulting LLC. Cuenta con más de 40 años de experiencia profesional en tecnología, dirección de proyectos, transformación organizacional e implementación y maduración de Oficinas de Gestión de Proyectos (PMO). Posee las certificaciones PMP® y PMI-PMOCP™, y es instructor autorizado para la formación de profesionales en dirección de proyectos.
Durante más de 35 años ha desarrollado una trayectoria docente en gestión de proyectos, administración, ingeniería de software y tecnología. Su trabajo de investigación se centra en el liderazgo y en la contribución de las PMO estratégicas a la gobernanza, la toma de decisiones y la capacidad de respuesta organizacional. Es creador de los modelos PMO Value Architecture y Enterprise Value Architecture, orientados a conectar estrategia, inversiones, decisiones, ejecución y evidencia de valor empresarial.
Como conferencista internacional, participa en congresos, encuentros profesionales y espacios académicos sobre PMO, liderazgo, transformación digital e inteligencia artificial aplicada a la gestión. Es autor de publicaciones profesionales y director regional de la Industrial Engineering and Operations Management Society (IEOM Society) para Centroamérica y el Caribe.
Entre sus distinciones de los últimos cinco años figuran el reconocimiento LinkedIn Top Voice en Gestión de Proyectos (2023), su inclusión en Marquis Who’s Who (2024) y el reconocimiento Outstanding PMO de IEOM Society (2026).</t>
  </si>
  <si>
    <t>PMOVA: Una arquitectura para agregar valor empresarial</t>
  </si>
  <si>
    <t>Siete movimientos de PMOVA para pasar de entregables a valor empresarial, con caso y plan de 90 días.</t>
  </si>
  <si>
    <t>Gobernanza de IA en la dirección de proyectos: decidir antes de usar, validar antes de decidir</t>
  </si>
  <si>
    <t>IA sin ceder el juicio profesional en la transición PMBOK 7 a 8: modos de uso y supervisión humana.</t>
  </si>
  <si>
    <t>+56 9 9727 4308</t>
  </si>
  <si>
    <r>
      <rPr>
        <color rgb="FF1155CC"/>
        <u/>
      </rPr>
      <t>jonatanfierro@gmail.com</t>
    </r>
  </si>
  <si>
    <r>
      <rPr>
        <color rgb="FF1155CC"/>
        <u/>
      </rPr>
      <t>steeven.apaza@gmail.com</t>
    </r>
  </si>
  <si>
    <t>PMP®, PST (SDSI), SMC (VMEDU), OPMS (Excellenter)</t>
  </si>
  <si>
    <t>https://drive.google.com/open?id=1cVZFwfr2vdmfbiYO6G6PGHVgrDXamc6K</t>
  </si>
  <si>
    <r>
      <rPr>
        <rFont val="Liberation Serif"/>
        <color rgb="FF1155CC"/>
        <u/>
      </rPr>
      <t>https://www.linkedin.com/in/jonatanfierro</t>
    </r>
  </si>
  <si>
    <r>
      <rPr>
        <color rgb="FF1155CC"/>
        <u/>
      </rPr>
      <t>alex@proyecta.lat</t>
    </r>
    <r>
      <rPr>
        <color rgb="FF1F1F1F"/>
      </rPr>
      <t xml:space="preserve"> / pmi@alexanderpaez.com</t>
    </r>
  </si>
  <si>
    <t>Varias en varios capítulos de america Latina: Chile, Perú, Costa Rica, República Dominicana, México</t>
  </si>
  <si>
    <t xml:space="preserve">Más de 150 conferencias desde 2005 en universidades, foros de negocios y congresos. </t>
  </si>
  <si>
    <t xml:space="preserve">Sin Cambio no hay paraíso. </t>
  </si>
  <si>
    <t xml:space="preserve">Al finalizar la conferencia, el participante será capaz de:
1.	Distinguir entre la entrega de los productos del proyecto y el logro del cambio que los vuelve útiles, reconociendo los subsistemas organizacionales que condicionan la adopción 
2.	Seleccionar, para un proyecto propio, un comportamiento observable posterior a la implementación y un líder informal capaz de sostenerlo 
</t>
  </si>
  <si>
    <t xml:space="preserve">Un proyecto puede cerrar dentro de alcance, tiempo y costo y aun así dejar a la organización trabajando igual que antes. Esa brecha aparece cuando la adopción se asume como consecuencia automática de la implantación, en lugar de diseñarse como un componente del proyecto desde la planeación.
La conferencia parte de tres premisas de trabajo: el cambio en las organizaciones es constante y acelerado; todo proyecto modifica la forma de trabajar de alguien; y la mayoría de los equipos de proyecto opera sin un especialista en gestión del cambio a bordo. De ahí se desprende el planteamiento central de la sesión, que la responsabilidad por el cambio que el proyecto promete recae en quien lo dirige, tenga o no el título para ello.
El contenido se organiza en tres bloques. Conocer el terreno aborda el diagnóstico cultural con el Marco de Valores en Competencia de Cameron y Quinn y el instrumento OCAI, y muestra por qué una implantación técnicamente correcta puede chocar con la cultura que la recibe. Hacer tangible el cambio traduce el resultado esperado a comportamientos observables después de la implementación, con un caso de adopción de CRM que separa entregables de resultados. Hacer sostenible el cambio trabaja a la organización como red social, con identificación de líderes de opinión y uso de narrativas para mantener viva la memoria del cambio cuando el equipo de proyecto ya se retiró.
La sesión combina marco conceptual, un caso de aplicación y dos sondeos en vivo con la audiencia. Cada participante termina con un comportamiento crítico identificado en un proyecto propio y con el nombre de la persona que puede ayudarle a sostenerlo.
</t>
  </si>
  <si>
    <t>Enfoque de Desarrollo Organizacional que construye sobre los marcos del PMI</t>
  </si>
  <si>
    <t>Ingeniero Informático de la Universidad de Concepción, con diplomados en Evaluación y Gestión de Proyectos y en Liderazgo y Gestión de Equipos de la Universidad de Chile. Es PMP®, PMI-ACP®, CSM® y CSPO®.
Cuenta con más de 15 años de trayectoria en tecnología dirigiendo proyectos, equipos y proveedores en salud, industria y retail. Implementó soluciones transaccionales para clientes de retail en NCR Corporation; dirigió el desarrollo de productos tecnológicos desde su conceptualización hasta la producción, liderando una nueva generación del producto principal con más de 90 unidades en operación; y condujo un programa de digitalización clínica en Colombia como Project Manager y Product Owner, donde redujo cerca de un 20% el ausentismo a citas y automatizó registros exigidos por normativa.
Hoy ejerce como consultor independiente en dirección de proyectos y transformación digital, con foco en la adopción responsable de inteligencia artificial: gobernanza previa al uso, supervisión humana y validación de recomendaciones antes de incorporarlas a decisiones. En agosto de 2026 expuso en el Congreso Virtual PMI Chile 2026 sobre inteligencia artificial en la dirección de proyectos, del PMBOK® 7 al PMBOK® 8. Es Project Manager voluntario de la vertical de Ciberseguridad y Tecnología del Capítulo PMI Santiago.
jonatan.cl</t>
  </si>
  <si>
    <t>Una exposición en congreso (PMI Chile 2026); PMP, PMI-ACP.</t>
  </si>
  <si>
    <t>Marco Antonio Arellano Hervoso</t>
  </si>
  <si>
    <t>https://drive.google.com/open?id=1PTeTUQJJZ7x_vLVTcqiWHYENzTqrV2LS</t>
  </si>
  <si>
    <r>
      <rPr>
        <color rgb="FF1155CC"/>
        <u/>
      </rPr>
      <t>lacevedoa@unitru.edu.pe</t>
    </r>
  </si>
  <si>
    <t>De la idea al valor: Gestión continua de valor y velocidad organizacional para maximizar los resultados empresariales</t>
  </si>
  <si>
    <t>Modelo CVML que conecta estrategia, inversiones, beneficios y valor, con gobernanza múltiple.</t>
  </si>
  <si>
    <t>+591 67701708</t>
  </si>
  <si>
    <r>
      <rPr>
        <color rgb="FF1155CC"/>
        <u/>
      </rPr>
      <t>arellano_marco@yahoo.com</t>
    </r>
  </si>
  <si>
    <r>
      <rPr>
        <rFont val="Liberation Serif"/>
        <color rgb="FF1155CC"/>
        <u/>
      </rPr>
      <t>https://www.linkedin.com/in/marco-arellano-phd-pmp/</t>
    </r>
  </si>
  <si>
    <t>cahugomez@gmail.com</t>
  </si>
  <si>
    <r>
      <rPr>
        <color rgb="FF1155CC"/>
        <u/>
      </rPr>
      <t>arellano_marco@yahoo.com</t>
    </r>
  </si>
  <si>
    <t>Líder de la oficina de proyectos corporativa del grupo empresarial Coomeva</t>
  </si>
  <si>
    <t>https://www.grupocoomeva.com/</t>
  </si>
  <si>
    <t>Ponente anual en congresos PMI LATAM desde 2010; PMP; Ph.D.</t>
  </si>
  <si>
    <t>Marco Antonio Arellano Hervoso, Ph.D., PMP®  
Consultor Senior en Dirección de Proyectos, Gobernanza, PMO y Business Development. Past Presidente del Capítulo PMI Santa Cruz, Bolivia y Académico de Número de la Academia Boliviana de Química (silla K). Ex Director de Pampa Corporation Inc. para Bolivia, liderando nuevos negocios en energías renovables (solar, eólica y geotérmica), formación de alianzas estratégicas y gestión de contratos. Actualmente se desempeña como Consultor Senior En EMBOL SA, responsable por la creación de la PMO.
Con más de 30 años de experiencia internacional en Europa, EE.UU. y Latinoamérica, ha desarrollado proyectos de inversión de gran escala (hasta 8 mil millones USD) en petróleo, gas y petroquímica, destacando en gobernanza corporativa, PMOs, licenciamiento tecnológico y contratos de servicios. Es PMP certificado desde 2010, reconocido speaker internacional en congresos PMI LATAM y mentor en liderazgo transformacional y desarrollo de equipos de alto desempeño.
Formado en la Academia Estatal de Tecnología Química Fina de Moscú “M.V. Lomonosov”, obtuvo títulos de Ingeniero Químico, M.Sc., Ph.D. y postdoctorados en Catálisis Heterogénea y Ecología Industrial. Ha sido profesor de postgrado en universidades de Bolivia, Brasil, Costa Rica, Perú y Rusia, además de investigador en procesos catalíticos, energías renovables, gobernanza y PMOs.
Autor de artículos científicos y de más de diez publicaciones en PMI Tour Cono Sur, cuenta con una patente europea sobre la obtención de ácido acético a partir de etanol y el libro Las pequeñas y medianas empresas en el sistema de innovación boliviano. Domina español, portugués y ruso, con fluidez en inglés técnico y conocimientos básicos de italiano.
Su trayectoria combina liderazgo académico, empresarial y gremial, consolidándose como referente en dirección estratégica de proyectos, innovación y sostenibilidad en Bolivia y la región.</t>
  </si>
  <si>
    <t>Enrique Aparicio</t>
  </si>
  <si>
    <t>+591 70112105</t>
  </si>
  <si>
    <r>
      <rPr>
        <color rgb="FF1155CC"/>
        <u/>
      </rPr>
      <t>enriqueapa@gmail.com</t>
    </r>
  </si>
  <si>
    <t>Tanyshka Lewis</t>
  </si>
  <si>
    <t>Estados Unidos</t>
  </si>
  <si>
    <t>57 3155588787</t>
  </si>
  <si>
    <t>Magistral en PMO Day Chile 2025; PMP; Banco FIE.</t>
  </si>
  <si>
    <t>C</t>
  </si>
  <si>
    <t>https://www.linkedin.com/in/carlos-humberto-gomez-cahugomez?utm_source=share_via&amp;utm_content=profile&amp;utm_medium=member_android</t>
  </si>
  <si>
    <t>B · C · M</t>
  </si>
  <si>
    <t>La Ciencia de los lideres que Transforman Proyecto</t>
  </si>
  <si>
    <t>Conferencia vivencial con psicogeometría sobre estilos de liderazgo, comunicación y decisión.</t>
  </si>
  <si>
    <t xml:space="preserve">Enrique Daniel Aparicio Ampuero es Ingeniero Industrial y Magíster en Dirección y Administración de Proyectos por la Universidad Católica Boliviana "San Pablo", con certificación profesional Project Management Professional (PMP)®. Cuenta con una sólida trayectoria liderando oficinas de gestión de proyectos (PMO), transformación organizacional, gobernanza tecnológica y modelos de entrega de valor en los sectores financiero, industrial, consumo masivo y retail. Actualmente se desempeña como Subgerente Nacional de Proyectos y Calidad TI en Banco FIE, habiendo liderado previamente iniciativas estratégicas y consultorías clave en organizaciones como EMBOL S.A., DATEC LATAM, la Autoridad de Supervisión del Sistema Financiero (ASFI) y Ketal S.A.
En el ámbito académico y docente, cuenta con una amplia experiencia como facilitador corporativo y profesor de posgrado y formación ejecutiva, guiando a profesionales en la preparación para certificaciones internacionales y en la aplicación práctica de marcos ágiles, predictivos e híbridos (PMBOK®, Scrum, Kanban, PMO Value Ring). Es el fundador de GymLab – Agile &amp; Project Management Hub (www.aparicioenrique.com), plataforma educativa orientada a la simulación y desarrollo de competencias estratégicas en gestión de proyectos.
En su faceta de investigación y difusión técnica, es autor del libro “Gestión de la Triple Restricción – Una visión integral y didáctica” y editor del boletín digital Tendencias Project Management. Ha desarrollado modelos y métricas aplicadas al gobierno de portafolios, tales como el Cost Schedule Index y el Net Project Success Score, además de herramientas pedagógicas gamificadas para la enseñanza de gestión de proyectos.
Como expositor y conferencista, ha participado en eventos internacionales y nacionales de referencia en la disciplina, destacando su presentación magistral en el PMO Day Chile 2025 (Santiago de Chile) y la facilitación de talleres especializados para empresas e instituciones de alcance nacional. Asimismo, ha contribuido como revisor y evaluador técnico de contenidos para congresos de la región LATAM y ha sido reconocido por su liderazgo en el fortalecimiento y difusión de las mejores prácticas de la profesión en la comunidad de dirección de proyectos.
</t>
  </si>
  <si>
    <t>+507-67278400</t>
  </si>
  <si>
    <t>¿De dónde saldrá el próximo Project Manager senior? Rediseñando la carrera y el criterio experto frente a la IA agéntica</t>
  </si>
  <si>
    <t>Modelo de tres caminos para formar PMs senior cuando la IA absorbe las tareas junior.</t>
  </si>
  <si>
    <r>
      <rPr>
        <color rgb="FF1155CC"/>
        <u/>
      </rPr>
      <t>tanyshkalewis1105@gmail.com</t>
    </r>
  </si>
  <si>
    <t>Ariel Rizzi</t>
  </si>
  <si>
    <t>Argentina</t>
  </si>
  <si>
    <t>+5491168509728</t>
  </si>
  <si>
    <r>
      <rPr>
        <color rgb="FF1155CC"/>
        <u/>
      </rPr>
      <t>ariel.rizzi@consultoraAgilarg.com</t>
    </r>
  </si>
  <si>
    <r>
      <rPr>
        <rFont val="Liberation Serif"/>
        <color rgb="FF1155CC"/>
        <u/>
      </rPr>
      <t>https://www.linkedin.com/in/tanyshka-lewis-a05616352/</t>
    </r>
  </si>
  <si>
    <t>Más de 15 eventos 2024–2026 (PMI Bolivia 2025, IIBA Global).</t>
  </si>
  <si>
    <t>MBA Ariel Rizzi: 32 años de experiencia en Gestion Internacional de Proyectos - ambiente Oil&amp; Gas. Ha desarrolaldo proyectos en Americas y Europa (con foco en USA - LATAM) y en UK y Hungria) Coach Agile y Docente de posgrado de UTN. 
MBA. escuala de Negocios de Madrid. Lic. en sistemas, posgrado UTN en Gestion de Proyectos bajo metodologia PMI, posgrado UCEMA gestion de RRHH con marcos Agile. Speaker internacional. VP Comm &amp; MKT PMI Bs As 2023 &amp; 2024.
Arquitecta Emilse Kasem, &gt;18 años de experiencia, Coach IFC, directora de Proyectos en Argentina y Chile. Especialista en Lean Construction. Docente de UTN. Especialista en costos y asesora de Empresas Constructoras en mejora de Procesos. Docente en CABERA (Camara de la Vivendy Equipamiento Urbano de Argentina) Presidenta de IIBA Argentina. Speaker Internacional.</t>
  </si>
  <si>
    <t>PMI-ACP®, Pmocp</t>
  </si>
  <si>
    <t>De la Legacy PMO a la SMART-IA PMO</t>
  </si>
  <si>
    <t>Límites de los modelos de PMO, tipos de IA, sesgos y casos de uso en vivo sobre áreas del PMBOK.</t>
  </si>
  <si>
    <t>https://drive.google.com/open?id=1tSR2RgnpP0C-9YxuM3UWzDmt9D4nF9-I</t>
  </si>
  <si>
    <t>Emilse Kasem</t>
  </si>
  <si>
    <t>+5493816260131</t>
  </si>
  <si>
    <r>
      <rPr>
        <color rgb="FF1155CC"/>
        <u/>
      </rPr>
      <t>ariel.rizzi@consultoraAgilarg.com</t>
    </r>
  </si>
  <si>
    <t>Eddi Rodas</t>
  </si>
  <si>
    <t>Tanyshka Lewis 
Ingeniera en Sistemas | PMP® | PSM | Project Manager Global
Vicepresidenta de Voluntariado, PMI Panamá
Ingeniera en Sistemas graduada de la Universidad Santa María la Antigua (USMA), con más de 10 años de experiencia liderando proyectos globales de tecnología en Dell Technologies. Certificada como Project Management Professional (PMP)® y Scrum Certified (PSM), combina su trayectoria en gestión de proyectos con una faceta como conferencista y facilitadora en desarrollo humano, aportando una visión integral que une liderazgo técnico, gestión del cambio y bienestar organizacional.
FORMACIÓN ACADÉMICA
•  Ingeniera en Sistemas — Universidad Santa María la Antigua (USMA), Panamá.
•  Project Management Professional (PMP)® — Project Management Institute (PMI).
•  Scrum Certified – Professional Scrum Master (PSM).
•  Certificación en Coaching en Psicología y Comportamiento Humano.
•  Instructora certificada en Meditación y Mindfulness aplicados al bienestar y la productividad.
EXPERIENCIA PROFESIONAL
Project Manager en Dell Technologies, donde acumula más de 10 años dirigiendo proyectos globales de tecnología, liderando equipos multiculturales y multidisciplinarios, y aplicando metodologías ágiles y predictivas para la entrega de soluciones estratégicas a nivel corporativo.
DOCENCIA Y FACILITACIÓN
Como Speaker en Psicogeometría, diseña y facilita espacios de aprendizaje orientados al autoconocimiento, la comunicación efectiva y el desarrollo de equipos, integrando herramientas de coaching y psicología del comportamiento humano en entornos corporativos.
EXPERIENCIA COMO EXPOSITORA
•  Dell Technologies — conferencias internas de liderazgo y desarrollo de equipos (2023–2024).
•  ASOCSA — conferencia corporativa (2026).
•  Cooperativa Cropocal — conferencia corporativa (2026).
•  Banco Interamericano de Desarrollo (BID) — conferencia institucional (2025).
RECONOCIMIENTOS Y DISTINCIONES (ÚLTIMOS 5 AÑOS)
•  Vicepresidenta de Voluntariado, PMI Panamá — rol de liderazgo institucional vigente.
•  Invitación como conferencista por organizaciones de prestigio regional, entre ellas el Banco Interamericano de Desarrollo (2025).
•  Reconocimiento como Speaker  en Psicogeometría por su aporte en formación corporativa (2023–2026).</t>
  </si>
  <si>
    <t>Charlas corporativas sin congresos PMI; PMP.</t>
  </si>
  <si>
    <t>+51 988880908</t>
  </si>
  <si>
    <t>Gobierno corporativo de proyectos en grupos empresariales - congreso de pmo capítulo pmi Bogotá. Jaime ferro +57 315 3492566
Manejo de oficinas de proyectos en grupos corporativos - Congreso internacional de ingenieria uao Ciro Martínez +57 316 5322043</t>
  </si>
  <si>
    <t>Erik Chacón Pillpa</t>
  </si>
  <si>
    <r>
      <rPr>
        <color rgb="FF1155CC"/>
        <u/>
      </rPr>
      <t>erodas@gestumtotal.com</t>
    </r>
  </si>
  <si>
    <t>Docente de gobernanza de proyectos por más de 5 años. 
Maestría en gerencia de proyectos universidad San buenaventura 
Especialización en gerencia de proyectos universidad autónoma 
Especialización en gerenciada de proyectos universidad católica</t>
  </si>
  <si>
    <t>Cómo funciona la gobernanza de proyectos en grupos empresariales corporativos, y cómo se genera valor a las organizaciones desde la administración del gobierno portafolios.</t>
  </si>
  <si>
    <t>585 proyectos bajo la lupa: IA para transformar la inversión pública</t>
  </si>
  <si>
    <t>Utilizo una presentación base, enfocada en la experiencia que se ha tenido en el grupo corporativo empresarial desde el 2011 a la actualidad, cómo hemos transformado la gobernanza de proyectos, y cómo estamos abordando actualmente de acuerdo a las necesidades del mercado. 
El grupo corporativo tiene actualmente 12 empresas en diferentes sectores económicos.</t>
  </si>
  <si>
    <t>Indicadores dinámicos con IA sobre 585 proyectos de inversión pública.</t>
  </si>
  <si>
    <t>Generación de valor más que gerencia de proyecto</t>
  </si>
  <si>
    <t>+51964117919</t>
  </si>
  <si>
    <t>Todos los gastos pagos de estadía y de transporte desde mi ubicación actual Cali Colombia.</t>
  </si>
  <si>
    <t>https://drive.google.com/open?id=1EDcaAF8dSGtU6SYZsXlmAwXqKxiIZbx0</t>
  </si>
  <si>
    <r>
      <rPr>
        <color rgb="FF1155CC"/>
        <u/>
      </rPr>
      <t>echaconp@uni.pe</t>
    </r>
  </si>
  <si>
    <r>
      <rPr>
        <rFont val="Liberation Serif"/>
        <color rgb="FF1155CC"/>
        <u/>
      </rPr>
      <t>https://linkedin.com/in/erikchaconp</t>
    </r>
  </si>
  <si>
    <t>carlos.ruiz@opexonlineacademy.org</t>
  </si>
  <si>
    <t>Opex Online Academy / CEO</t>
  </si>
  <si>
    <t>https://www.opexonlineacademy.org</t>
  </si>
  <si>
    <t>Ingeniero Civil con 9 años de experiencia en el sector energía, especializado en el planeamiento, desarrollo
y control de proyectos de ingeniería e infraestructura. Experiencia en proyectos y activos de generación
hidroeléctrica, solar y eólica, participando en el desarrollo de ingeniería, evaluación de alternativas, planificación,
control de costos, gestión de riesgos y seguimiento del desempeño de proyectos.
Actualmente me desempeño como Especialista en Ingeniería Civil, participando en el planeamiento y desarrollo
de proyectos del sector energético, integrando criterios de ingeniería, constructabilidad, plazo, costos, riesgos
y gestión de proyectos para la toma de decisiones.
Experiencia en la aplicación e integración de Building Information Modeling (BIM) y Last Planner
System (LPS) para fortalecer la planificación, coordinación y control de proyectos. Desarrollo modelos y
herramientas digitales orientados a integrar información de ingeniería, modelos BIM, cronogramas, costos, avance
y restricciones, mejorando la trazabilidad durante el desarrollo y ejecución de los proyectos.
Complemento mi experiencia técnica con conocimientos en dirección de proyectos, automatización, análisis
de datos e Inteligencia Artificial, utilizando Python, Power BI y herramientas digitales para desarrollar
soluciones aplicadas al planeamiento y control de proyectos.
Certificado PMP®, PSM®, SFC™ y SFPC™, con formación de posgrado en Energy Management
(UTEC) y Proyectos de Inversión (UNI), integrando conocimientos de ingeniería, energía, gestión y transformación
digital.</t>
  </si>
  <si>
    <t>Ocho ponencias (PMI Lima, PMI Camp Power); PMP.</t>
  </si>
  <si>
    <r>
      <rPr>
        <color rgb="FF1155CC"/>
        <u/>
      </rPr>
      <t>enriqueapa@gmail.com</t>
    </r>
  </si>
  <si>
    <t>https://www.linkedin.com/in/cjrz-mbb</t>
  </si>
  <si>
    <r>
      <rPr>
        <rFont val="Liberation Serif"/>
        <color rgb="FF1155CC"/>
        <u/>
      </rPr>
      <t>https://www.linkedin.com/in/pmptraining</t>
    </r>
  </si>
  <si>
    <t>PMP®, PMI PMO-CP</t>
  </si>
  <si>
    <t>https://drive.google.com/open?id=1pVI9H_6CTsLkjnNnTOOXNCZv6yWrzCxB</t>
  </si>
  <si>
    <t>PMI Lima 2022–2025, PMI LATAM 2026, PMO Day; PMP.</t>
  </si>
  <si>
    <t>Ariel Rizzi &amp; Emilse Kasem</t>
  </si>
  <si>
    <t>Título: Tour Latam 2025: Desarrollo y Despliegue de Estrategia – Iniciando un Cambio Significativo, PMI Bolivia Chapter, 2025, Marco Arellano</t>
  </si>
  <si>
    <t>PM4R Expert, PM4R Trainer certificado por el BID, Project Management Professional (PMP), y director de Gestum Total, consultora especializada en gestión de proyectos por resultados y transformación organizacional. He liderado la implementación de Oficinas de Proyectos (PMO), la capacitación de cientos de profesionales, y el desarrollo de herramientas de gestión integradas con inteligencia artificial. Con más de 20 años de experiencia en dirección de proyectos, he tenido el privilegio de liderar procesos de transformación en el sector público y privado, especialmente en América Latina, donde he acompañado a ministerios, gobiernos locales, agencias de cooperación y empresas en el diseño e implementación de soluciones con impacto real. He sido expositor de los congresos internacionales del PMI Lima Perú 2022, 2023, 2024 y 2025, PMI Latam 2026, PMO Day 2025, PMO Day 2026, Jurado Premio PMO Global Award PMI 2025, Jurado Premio PMO Global Award PMI 2026. Expositor de Eventos Internacionales del BID desde el 2008.</t>
  </si>
  <si>
    <t>Capacitador Internacional en Lean Six Sigma y actualmente ATP activo del PMI.</t>
  </si>
  <si>
    <t>PMO Inteligente: una PMO impulsada humanos y agentes IA</t>
  </si>
  <si>
    <t>Agentes de IA para automatizar procesos, gestionar riesgos y decidir en la PMO.</t>
  </si>
  <si>
    <t>A · D · M</t>
  </si>
  <si>
    <t>Objetivo General: Inspirar a líderes y profesionales de PMO a rediseñar su oficina de proyectos como un ente estratégico, centrado en el cliente y generador de valor, capaz de convertir la estrategia organizacional en resultados tangibles y, con ello, transformar la cultura en lugar de ser rehén de ella.
Diagnosticar el escenario contextual de su organización (de Potencial a Resurgimiento) y el nivel de madurez y cultura que condiciona a su PMO.
Contrastar el PMO centrado en procesos con el PMO orientado a servicios y reconocer los síntomas de un PMO en crisis.
Explicar los cinco elementos del marco PMO Value Ring™ y cómo alinean estrategia, cultura, estructura e industria con el mandato del PMO.
Aplicar el ciclo de experiencia del cliente y los 10 pasos del volante generador de valor para diseñar, operar y mejorar servicios.
Seleccionar el enfoque de servicio adecuado (consultivo a gestionado) según la madurez de cada cliente interno.
Priorizar las competencias de diseño, operación y mejora que su equipo necesita para convertirse en socio estratégico.</t>
  </si>
  <si>
    <t>Santiago Armas</t>
  </si>
  <si>
    <t>+5491168509728 +5493816260131</t>
  </si>
  <si>
    <r>
      <rPr>
        <color rgb="FF1155CC"/>
        <u/>
      </rPr>
      <t>ariel.rizzi@consultoraAgilarg.com</t>
    </r>
  </si>
  <si>
    <t>Ecuador</t>
  </si>
  <si>
    <t>La presentación "El PMO del futuro: cuando la estrategia se come a la cultura en el almuerzo" es una keynote de 19 diapositivas basada en Project Management Offices: A Practice Guide de PMI, que invierte la célebre frase de Drucker para sostener que un PMO estratégico, bien diseñado, puede transformar la cultura organizacional en lugar de ser rehén de ella. Abre con un objetivo general y seis objetivos específicos orientados a que la audiencia diagnostique su contexto, contraste modelos de PMO y aplique el marco de PMI. Luego recorre la evolución del PMO en seis eras, los cuatro desafíos actuales (demostrar valor, tecnología, alineación estratégica y el asiento en la mesa ejecutiva), las fuerzas invisibles de cultura y madurez, y los ocho escenarios contextuales, desde Potencial hasta Resurgimiento. El núcleo presenta el giro del PMO centrado en procesos al PMO proveedor de servicios, los seis principios de centralidad en el cliente y el marco PMO Value Ring™ con sus cinco elementos, los pilares de mandato, estrategia y gobernanza, y el ciclo de experiencia del cliente desplegado en los diez pasos del volante generador de valor. Después muestra cómo un mismo servicio se entrega con seis enfoques distintos según la madurez de cada cliente y qué competencias de diseño, operación y mejora necesita el equipo. Cierra con cinco tesis de síntesis, un plan de acción escalonado para la primera semana, el primer mes y los dos primeros trimestres, y una diapositiva de agradecimiento con los datos de contacto del ponente.</t>
  </si>
  <si>
    <t>+593 997628800</t>
  </si>
  <si>
    <r>
      <rPr>
        <color rgb="FF1155CC"/>
        <u/>
      </rPr>
      <t>sant_armas@yahoo.es</t>
    </r>
  </si>
  <si>
    <t>El concepto innovador que se expondrá es el marco PMO Value Ring™ y su motor operativo, el volante generador de valor (Value-Generating PMO Flywheel), propuestos por PMI y PMO Global Alliance en la guía de práctica. Se trata de una metodología que abandona la búsqueda del "PMO ideal" y redefine al PMO como un proveedor interno de servicios centrado en el cliente: el cliente del PMO ocupa el centro del modelo, rodeado por cuatro elementos base de la organización (estrategia, cultura y madurez, estructura y perfil de la industria), tres componentes estructurales (mandato, estrategia y gobernanza del PMO) y un ciclo de experiencia del cliente de cinco etapas (exploración, diseño, despliegue, mejora y realización). El volante traduce ese ciclo en diez pasos accionables, desde la construcción de conciencia y la evaluación de necesidades hasta la entrega y el reconocimiento del valor, que giran de forma continua y en paralelo, de modo que cada ciclo de valor entregado y reconocido genera impulso para el siguiente. La aplicación práctica se apoya en tres herramientas de la guía: la evaluación de expectativas del cliente sobre 30 resultados potenciales, la selección de uno de seis enfoques de servicio (de consultivo a gestionado) según la madurez de cada cliente interno, y la evaluación de madurez de los servicios del PMO. La aportación de la keynote es leer este marco desde la tesis de que la estrategia, servida así, transforma la cultura ciclo tras ciclo.</t>
  </si>
  <si>
    <t>Acceso a entregar la presentación de forma virtual para toda la audiencia.</t>
  </si>
  <si>
    <t>https://drive.google.com/open?id=1tU4h_upDXxMq8Ahi0f_JkePID0gfirox</t>
  </si>
  <si>
    <t>Seis presentaciones PMI 2024–2025; PMP, PMO-CP, PM4R.</t>
  </si>
  <si>
    <t>https://www.linkedin.com/in/ariel-rizzi/ &amp; https://www.linkedin.com/in/emilse-mar%C3%ADa-serra-kasem/</t>
  </si>
  <si>
    <t>Santiago David Armas Vega, soy Ingeniero Civil, MBA con mención en Gerencia de la Calidad y Productividad, PMP, PM4R y PMI-PMOCP. He desarrollado experiencia en dirección, planificación, control de proyectos y gestión de construcción en los sectores de energía, infraestructura y Oil &amp; Gas.
Actualmente me desempeña como Projects Services Leader en SHAYA S.A. – SLB y Gerente Técnico de Grupo Armas Vega Asociados, participando en proyectos de alta complejidad y en la implementación de metodologías de gestión y control de proyectos.
Ha participado en proyectos relevantes para el Ecuador como la Central Hidroeléctrica Coca Codo Sinclair, participando en la planificación, control de costos, seguimiento de avance y coordinación técnica.
Soy docente y facilitador en temas de dirección de proyectos, project controls y gestión de la construcción, además de participar activamente como voluntario y expositor en comunidades del Project Management Institute (PMI). En los últimos años como ponente en eventos nacionales e internacionales relacionados con gestión de proyectos, construcción y liderazgo.</t>
  </si>
  <si>
    <t>MBA Ariel Rizzi: 32 años de experiencia en Gestion Internacional de Proyectos - ambiente Oil&amp; Gas. Ha desarrolaldo proyectos en Americas y Europa (con foco en USA - LATAM) y en UK y Hungria) Coach Agile y Docente de posgrado de UTN. 
MBA. escuala de Negocios de Madrid. Lic. en sistemas, posgrado UTN en Gestion de Proyectos bajo metodologia PMI, posgrado UCEMA gestion de RRHH con marcos Agile. Speaker internacional. VP Comm &amp; MKT PMI Bs As 2023 &amp; 2024.
Arqutecta de profesion con +18 años de experiencia, Presidenta IIBA Argentina, Coach IFC, directora de Proyectos en Argentina. Gerente de la consultora Coste Arquitectura.  Especialista en Lean Construction. Docente de UTN. Especialista en costos y asesora de Empresas Constructoras en mejora de Procesos. Docente en CAVERA (Camara de la Vivendy Equipamiento Urbano de Argentina). Speaker Internacional.</t>
  </si>
  <si>
    <t>BIM 4D y Digital Twin: Integrando Planificación, Construcción y Control</t>
  </si>
  <si>
    <t>Caso CPF Culebra 21: BIM 4D, gemelo digital y project controls.</t>
  </si>
  <si>
    <t>José Reyes Asto</t>
  </si>
  <si>
    <t>+912 825 885</t>
  </si>
  <si>
    <r>
      <rPr>
        <color rgb="FF1155CC"/>
        <u/>
      </rPr>
      <t>administracion@pcertificate.com</t>
    </r>
  </si>
  <si>
    <r>
      <rPr>
        <color rgb="FF1155CC"/>
        <u/>
      </rPr>
      <t>erodas@gestumtotal.com</t>
    </r>
  </si>
  <si>
    <t>nrodriguez@tetraimpacts.com</t>
  </si>
  <si>
    <t>Ponencias AACE, PMI Norte, PMI RD 2021–2025; PMP, PMI-SP.</t>
  </si>
  <si>
    <t xml:space="preserve">Noel Rodríguez </t>
  </si>
  <si>
    <t>Tetraimpacts Nicaragua S.A.</t>
  </si>
  <si>
    <t>https://tetraimpacts.com/</t>
  </si>
  <si>
    <t xml:space="preserve">Ingeniero Mecánico Electricista UNI titulado y colegiado, con certificación PSP™ Planning and Scheduling Professional del AACE | CCP™ Certified Cost Professional del AACE (N°05018) | Certificación EVP™ Earned Value Professional (N°0925) |Certificación PMI-SP Planning and Scheduling Professional (N°2989571) |Certificación PMI-RPM Risk Management Professional | Certificación PMP® (N°1673674). Tercio superior con amplia experiencia en Planeamiento, Programación, Análisis forense de cronogramas (TIA, CPA), Control de costos y Control de cambios de obras civiles y electromecánicas en proyectos mineros de gran envergadura, con especialización en Dirección de Proyectos según las buenas prácticas del PMBOK y AACEI (Skill and knowledge y Prácticas recomendadas), Especialización en Análisis forense de cronogramas, especialización en Lean construction, Sistema del último planificador, Milla medida para la estimación de costos de la improductividad. Dominio a nivel avanzado de Asta Power Project, Primavera P6, Power BI, MS Project. Implementador de mejoras de reportabilidad en tiempo real con Power BI, Share point, One drive. Dominio del idioma inglés a nivel avanzado. </t>
  </si>
  <si>
    <t>Tiempo, costo y flujo: BIM 4D/5D, Lean e Inteligencia Artificial en la dirección de proyectos</t>
  </si>
  <si>
    <r>
      <rPr>
        <rFont val="Liberation Serif"/>
        <color rgb="FF1155CC"/>
        <u/>
      </rPr>
      <t>https://www.linkedin.com/in/eddi-rodas/</t>
    </r>
  </si>
  <si>
    <t>Integración de BIM 4D/5D, Lean y IA, con caso de desviaciones y actividad práctica.</t>
  </si>
  <si>
    <t>Daniel Bustos Valdivieso</t>
  </si>
  <si>
    <t>+591 70610180</t>
  </si>
  <si>
    <r>
      <rPr>
        <color rgb="FF1155CC"/>
        <u/>
      </rPr>
      <t>bustosdaniel73@gmail.com</t>
    </r>
  </si>
  <si>
    <t>https://www.linkedin.com/in/noel-rodriguez-tetraimpacts?utm_source=share_via&amp;utm_content=profile&amp;utm_medium=member_ios</t>
  </si>
  <si>
    <t>Tour LATAM 2025, PMI Cochabamba; PMP, PfMP declarado.</t>
  </si>
  <si>
    <t xml:space="preserve">Ejecutivo con más de 30 años de experiencia en telecomunicaciones y más de 20 años en cargos ejecutivos. Actualmente se desempeña como Subdirector de Operaciones de Red en Nuevatel PCS de Bolivia S.A. (VIVA), responsable de las redes y operaciones a nivel nacional, y es miembro del Directorio de la Fundación Viva. Se desempeñó también como Vicepresidente de Tecnología, Director de Tecnología y Gerente de Regulatorio, liderando la PMO corporativa con portafolios superiores a USD 145 millones.
De formación Ingeniero Electrónico con Maestría en Administración de Empresas, cursa actualmente el Doctorado en Innovación y Emprendimiento en la Universidad Católica Boliviana. Cuenta con las certificaciones Portfolio Management Professional (PfMP®), siendo el primer PfMP® otorgado en Bolivia, Project Management Professional (PMP®), Scrum Master Certification (SMC), Professional Data Scientist Certification en Python y Certificación en OKRs, entre otras.
Entusiasta de la lectura y del liderazgo de servicio, participó como mentor certificado en el programa Conecta Mentora. Considera las habilidades de Gestión de Proyectos una herramienta para lograr objetivos de manera más eficiente, y la alfabetización en Datos e Inteligencia Artificial, imprescindible para encarar los desafíos actuales.
</t>
  </si>
  <si>
    <t>Nadie adopta una PMO por decreto: por qué mueren las PMO y cómo la transformación organizacional las hace sostenibles</t>
  </si>
  <si>
    <t>Las PMO fracasan por falta de adopción: madurez, gobernanza y Flywheel con casos de telecomunicaciones.</t>
  </si>
  <si>
    <t>Ingrid Lucía Muñoz Periñán</t>
  </si>
  <si>
    <t>MBA en Proyectos de IA</t>
  </si>
  <si>
    <t>https://drive.google.com/open?id=1TvqtBbtUqbmxY3NnrsKqcu0hedeb2uh5</t>
  </si>
  <si>
    <t>IT4PM — GESTUM — 2022 y 2023 — Arleny Valle: +505 7714 1105; Ana Cecilia Arias: +51 986 020 179
Capacitaciones de transformación tecnológica — MINED Nicaragua — 2025 y 2026 — Martha Lorena Vázquez: +505 8786 3486
IA and E-commerce — Good American — 2025 — Richard Barkinsky: +1 (818) 300-7042</t>
  </si>
  <si>
    <t>Noel Rodríguez cuenta con experiencia como expositor y facilitador ante audiencias profesionales, corporativas e institucionales, abordando temas relacionados con gestión de proyectos tecnológicos, transformación digital, arquitectura de software e inteligencia artificial aplicada.
En 2022 y 2023 participó como expositor de IT4PM en GESTUM, explorando la relación entre la gestión de proyectos y las tecnologías de la información. Durante 2025 y 2026 impartió capacitaciones sobre transformación tecnológica para el Ministerio de Educación de Nicaragua, orientadas a facilitar la adopción de nuevas plataformas y procesos digitales. En 2025 también presentó la conferencia “IA and E-commerce” en Good American, centrada en las aplicaciones y oportunidades de la inteligencia artificial en el comercio electrónico.
Sus exposiciones combinan fundamentos conceptuales, experiencias reales y ejemplos prácticos, traduciendo temas técnicos complejos en ideas claras, relevantes y aplicables para cada audiencia.</t>
  </si>
  <si>
    <t>Identificar las causas y el impacto de la pérdida de contexto en proyectos extensos y distribuidos.
Comprender cómo OKF y RAG se complementan para estructurar y recuperar el conocimiento relevante de un proyecto.
Aplicar un flujo inspirado en Git para versionar decisiones, validar cambios, automatizar actualizaciones y conservar la trazabilidad.
Diseñar una bitácora mínima, viva y compartida que mantenga la continuidad entre equipos, herramientas y agentes de inteligencia artificial.</t>
  </si>
  <si>
    <t>• El problema: decisiones, requisitos y aprendizajes dispersos que provocan pérdida de contexto y retrabajo.
• El modelo: OKF estructura el conocimiento canónico y RAG recupera la información pertinente cuando se necesita.
• El flujo: ramas, registros de cambios, revisiones y automatizaciones convierten cada decisión en un artefacto versionado y trazable.
• La bitácora: una memoria de proyecto viva, distribuida y compartida por personas y agentes de IA.
• Metodología: explicación conceptual, representación visual del flujo, caso práctico e interacción con los participantes.
• Cuando esta sesión finalice, los participantes estarán aptos para diseñar un sistema básico de continuidad de contexto aplicable a sus propios proyectos.</t>
  </si>
  <si>
    <t>La propuesta introduce un enfoque denominado Context Flow, que trata el contexto como un entregable vivo y versionado, en lugar de reducirlo a documentación estática o a instrucciones temporales para una IA. Integra OKF para organizar el conocimiento canónico, RAG para recuperar evidencias relevantes y flujos inspirados en Git para registrar, revisar y automatizar cada cambio. El resultado es una memoria de proyecto distribuida, auditable y reutilizable, capaz de conservar decisiones, aprendizajes y trazabilidad entre personas, herramientas y agentes de inteligencia artificial.</t>
  </si>
  <si>
    <t>https://drive.google.com/open?id=1hNNzIwUEjblA4az73EL0r_FJ2Yqtr9mx</t>
  </si>
  <si>
    <t>+5733162578891</t>
  </si>
  <si>
    <r>
      <rPr>
        <color rgb="FF1155CC"/>
        <u/>
      </rPr>
      <t>ilmunoz@icesi.edu.co</t>
    </r>
  </si>
  <si>
    <t>jgmendez@gmail.com</t>
  </si>
  <si>
    <t>Jorge Gustavo Méndez Ayala</t>
  </si>
  <si>
    <t>Independiente</t>
  </si>
  <si>
    <t>+591 79875205</t>
  </si>
  <si>
    <t>PMI Pacífico 2021 y 2026, PMI RD 2023; PMP, PMO-CP.</t>
  </si>
  <si>
    <t xml:space="preserve">Soy Ingeniero Industrial, MBA y profesional certificado PMP, con más de 30 años de experiencia en los sectores de petróleo, gas, industria y servicios. A lo largo de mi trayectoria profesional me he especializado en dirección de proyectos y gestión de riesgos en QHSE.
He desarrollado mi carrera en empresas multinacionales  de Oil and Gas, y consultoriua ocupando posiciones de responsabilidad y liderando iniciativas orientadas a mejorar la eficiencia operativa, reducir riesgos y fortalecer los sistemas de gestión. 
Paralelamente, he desarrollado una importante trayectoria académica como docente de pregrado y postgrado, formando profesionales en gestión de proyectos y sostenibilidad.
Esta combinación de experiencia ejecutiva, consultoría y docencia me permite aportar una visión integral, orientada a desarrollar soluciones innovadoras, seguras y sostenibles que generen resultados concretos para las organizaciones y las personas.
</t>
  </si>
  <si>
    <t>https://www.linkedin.com/in/jorgemendezayala/</t>
  </si>
  <si>
    <t xml:space="preserve">RESUMEN PERFIL:
INGRID LUCÍA MUÑOZ PERIÑÁN
Ingeniera Electrónica | Magíster en Gestión de Informática y Telecomunicaciones | PMP® | PMO-CPr | Lead Auditor ISO 27001
Profesional con más de 29 años de experiencia y una sólida trayectoria en gerencia de proyectos, implementación y evolución de PMO, gobierno de TI, seguridad de la información, ciberseguridad y transformación organizacional.
Actualmente es Lider Senior de Consultoria en Gerencia de Proyectos, Ciberseguridad y Seguridad de la Información del Centro Innlab de la Universidad Icesi y además Directora de la Maestría y Especialización en Ciberseguridad y Profesora de Tiempo Completo de la Universidad Icesi, y socia de DOMUZ Consultoría S.A.S.
Ha liderado proyectos y procesos de transformación en organizaciones de diferentes sectores, integrando estrategia, tecnología, seguridad y gestión de proyectos para generar resultados de negocio.
Presidenta Fundadora del PMI Pacífico Colombia, conferencista nacional e internacional y autora de dos libros sobre gestión de proyectos. Cuenta con certificaciones y experiencia en PMP®, PMO, ISO 27001, COBIT, OKR, Scrum y Kanban.
Con más de 15 años de experiencia dirigiendo proyectos predictivos, híbridos y ágiles, hoy comparte una visión clara: la PMO debe evolucionar de una función centrada en el control hacia una capacidad estratégica que genere y demuestre valor.
Escritora de 3 ediciones de libro : "Integración de enfoques para una gerencia de proyectos de valor".
En este taller compartirá su experiencia sobre la evolución de las PMO hacia modelos orientados al valor, explorando el enfoque Value Ring como herramienta para diseñar y fortalecer PMO alineadas con las necesidades y objetivos estratégicos de las organizaciones.
</t>
  </si>
  <si>
    <t>Tu organización es el cliente. Diseñando una PMO a la medida, potenciada con IA</t>
  </si>
  <si>
    <t>PMO Value Ring con simulador de IA: priorizar resultados, servicios y competencias en vivo.</t>
  </si>
  <si>
    <t>Mónica Delsouc</t>
  </si>
  <si>
    <t>+542615520529</t>
  </si>
  <si>
    <r>
      <rPr>
        <color rgb="FF1155CC"/>
        <u/>
      </rPr>
      <t>mdelsouc@leadconsultora.com</t>
    </r>
  </si>
  <si>
    <t>https://drive.google.com/open?id=1F9Abmh2S015N69A6JtQAC6W8O5T1k6he</t>
  </si>
  <si>
    <t>Referencias que son cargos; biografía de una línea.</t>
  </si>
  <si>
    <t xml:space="preserve">Abogada. Docente. Coach. Montañista. Program Manager. Especialista en Gestión de Proyectos Mineros y planificación estratégica </t>
  </si>
  <si>
    <t>PIBPGPM Programa Internacional de buenas prácticas en Gestión de Proyectos Mineros</t>
  </si>
  <si>
    <t>Presentación del programa: objetivos, metodología, áreas e integrantes.</t>
  </si>
  <si>
    <t>A · A · CE</t>
  </si>
  <si>
    <t>Shogun Shimose</t>
  </si>
  <si>
    <t>+59161230088</t>
  </si>
  <si>
    <r>
      <rPr>
        <color rgb="FF1155CC"/>
        <u/>
      </rPr>
      <t>shogun.shimose@gmail.com</t>
    </r>
  </si>
  <si>
    <t>Nota: Lamentablemente, no cuento con el registro detallado de la información solicitada. Sin embargo, puedo señalar que he participado como expositor y/o ponente en diversos foros académicos y profesionales, en diferentes espacios y áreas relacionadas con mi experiencia.</t>
  </si>
  <si>
    <t>A lo largo de mi trayectoria profesional he tenido la oportunidad de participar como expositor y ponente en diversos foros académicos y profesionales, compartiendo conocimientos y experiencias relacionados con la gestión de proyectos, gestión de riesgos, QHSE  y optimización de procesos. Estas experiencias me han permitido transmitir buenas prácticas, intercambiar conocimientos con profesionales de diferentes sectores y contribuir al desarrollo de capacidades en estudiantes y profesionales. Mi experiencia como docente de pregrado y postgrado complementa esta faceta, fortaleciendo mi capacidad para comunicar conceptos técnicos de manera clara y aplicarlos a situaciones reales del ámbito empresarial.</t>
  </si>
  <si>
    <t>Gestión Integrada de Riesgos en Oil &amp; Gas: gobernar el proyecto, controlar el peligro, proteger el valor</t>
  </si>
  <si>
    <t>A. Demostrar que en Oil &amp; Gas la gestión de riesgos solo es efectiva cuando se integra la gobernanza del proyecto, la gestión formal del riesgo y el control técnico de peligros mayores.
B. Explicar cómo se articulan, en una sola lógica de decisión, las buenas prácticas de PMBOK 8, el Standard for Risk Management in Portfolios, Programs, and Projects, y los marcos de Process Safety.
C. Mostrar un modelo aplicable al ciclo de vida del proyecto para que la organización pueda gobernar el proyecto, controlar el peligro y proteger el valor en las fases del proyecto.</t>
  </si>
  <si>
    <t>Tour LATAM 2024 y 2025, PMO Career Week 2025; PMP.</t>
  </si>
  <si>
    <t>- Ponencia magistral en formato PPT clásico con apoyo de la IA, centrada en una propuesta integrada de gestión de riesgos para Oil &amp; Gas que conecta PMBOK 8, el estándar PMI de riesgo y Process Safety / Asset Integrity.
- Se desarrollarán tres ideas rectoras: A. demostrar la necesidad de integrar gobernanza, riesgo y peligros mayores; B. explicar la articulación entre PMI, HAZOP, Bow-Tie y Barrier Management; C. mostrar su aplicación a lo largo del ciclo de vida del proyecto.
- La metodología será expositiva y didáctica, con narrativa de alto nivel, esquemas conceptuales, una arquitectura de tres niveles y mensajes ejecutivos orientados a toma de decisiones.
- La conclusión central será que en Oil &amp; Gas no basta con administrar riesgos de proyecto: se requiere un solo sistema de decisión para gobernar el proyecto, controlar el peligro y proteger el valor.
- Cuando esta sesión finalice, los participantes estarán aptos para reconocer la brecha entre riesgo de proyecto y riesgo mayor, entender un modelo integrado de gestión y traducirlo en criterios de gobernanza, control de cambios, barreras críticas y seguimiento ejecutivo.</t>
  </si>
  <si>
    <t xml:space="preserve">El concepto innovador que se expondrá es un modelo integrado de gestión de riesgos para proyectos de Oil &amp; Gas que conecta, en un solo sistema de decisión, tres capas que normalmente se administran por separado: la gobernanza y dirección del proyecto desde PMBOK 8, la gestión formal del riesgo desde el estándar de PMI, y el control técnico de peligros mayores desde Process Safety y Asset Integrity. </t>
  </si>
  <si>
    <t>Profesional boliviano-japonés con un MBA y casi 15 años de experiencia en tecnología, industria, minería y logística, así como más de una década liderando portafolios estratégicos, programas y proyectos. Ex Líder de la PMO en DATEC Latam y actualmente Líder de la Gestión de Portafolio de Proyectos en Minera San Cristobal S.A., además de Presidente en el Capítulo PMI Bolivia, promoviendo las buenas prácticas en gestión de proyectos y fortaleciendo la comunidad profesional en Bolivia.
Cuenta con certificaciones internacionales como PMP®, DASM®, CSM® y SAFe®, entre otras, lo que refleja una sólida formación en enfoques tradicionales, ágiles e híbridos de gestión. También es voluntario activo en Conecta Mentora, un programa de desarrollo profesional y mentoría patrocinado por la Embajada de Estados Unidos en Bolivia, que fomenta el liderazgo, la inclusión y el intercambio cultural. Su enfoque está en generar impacto positivo, impulsar la innovación y construir redes de colaboración sostenibles.</t>
  </si>
  <si>
    <t>Ninguna</t>
  </si>
  <si>
    <t>PMO 4.0 &amp; Resiliencia Económica: Rediseñando la Gestión de Proyectos en Bolivia hacia la Eficiencia, Adaptabilidad y Generación de Valor</t>
  </si>
  <si>
    <t>https://drive.google.com/open?id=1ZLLEtwVdgntnyl6si5DxOmE1ryi3m839</t>
  </si>
  <si>
    <t>PMO estratégica, ágil y digital ante la restricción de liquidez y la volatilidad en Bolivia.</t>
  </si>
  <si>
    <t>Irina Valdez</t>
  </si>
  <si>
    <r>
      <rPr>
        <color rgb="FF1155CC"/>
        <u/>
      </rPr>
      <t>irinacelly@hotmail.com</t>
    </r>
  </si>
  <si>
    <t>lacevedoa@unitru.edu.pe</t>
  </si>
  <si>
    <t>11 presentaciones 2025–2026 en capítulos PMI; PMP, PMO-CP.</t>
  </si>
  <si>
    <t>Santander</t>
  </si>
  <si>
    <t>*Bio*
*Irina Valdez* es una ejecutiva de transformación y líder regional de PMI, reconocida por su capacidad para conectar estrategia, ejecución y desarrollo de talento para generar resultados sostenibles.
Con experiencia en PMO, gestión de portafolios, transformación organizacional y educación, ha liderado iniciativas que fortalecen capacidades organizacionales, aceleran la adopción del cambio y desarrollan ecosistemas de aprendizaje con impacto en diversos sectores y contextos multiculturales.
Actualmente contribuye al desarrollo de la profesión y de las nuevas generaciones de líderes a través de iniciativas regionales de educación e impacto social en Latinoamérica, promoviendo la conexión entre negocio, innovación y gestión estratégica.</t>
  </si>
  <si>
    <t>https://www.santander.com/es/</t>
  </si>
  <si>
    <t>La IA promete valor. La ejecución lo demuestra.</t>
  </si>
  <si>
    <t>Distancia entre prometer valor con IA y generar beneficios reales, con caso ejecutivo.</t>
  </si>
  <si>
    <t>Luis Alberto Gutierrez Gutierrez</t>
  </si>
  <si>
    <t>+14088298368</t>
  </si>
  <si>
    <r>
      <rPr>
        <color rgb="FF1155CC"/>
        <u/>
      </rPr>
      <t>luisgtz2@gmail.com</t>
    </r>
  </si>
  <si>
    <t>Una sola participación documentada (panel), sin año ni evento PMI.</t>
  </si>
  <si>
    <t>Over the past five years, I have held senior management roles at Dolby Laboratories, focusing on global support operations, partner success, and strategic transformation. Since September 2023, my work has centered on cross-functional initiatives in portfolio prioritization, operational improvement, strategic data capabilities, and enterprise AI adoption planning. Previously, I led support operations and partner success programs to improve service delivery and coordination across teams. My academic background includes an MBA from Santa Clara University and a bachelor’s degree in Electrical Engineering from Tecnológico de Monterrey. In November 2024, I completed Stanford Graduate School of Business’s Digital Transformation Playbook program, further developing my knowledge of technology-driven business innovation.</t>
  </si>
  <si>
    <t>De la estrategia a los resultados: cómo decidir qué iniciativas empezar, escalar o detener</t>
  </si>
  <si>
    <t>Entregar versus generar valor, y decidir iniciativas con inversión incremental basada en evidencia.</t>
  </si>
  <si>
    <t>Gabriela Gutiérrez</t>
  </si>
  <si>
    <t>https://www.linkedin.com/in/aliciaacevedoavila/</t>
  </si>
  <si>
    <t>+1-832-975-2820</t>
  </si>
  <si>
    <r>
      <rPr>
        <color rgb="FF1155CC"/>
        <u/>
      </rPr>
      <t>gabriela@gutierrezcoaching.com</t>
    </r>
  </si>
  <si>
    <t>Cierre magistral en PMI Washington D.C. y Fort Worth 2026; PMP.</t>
  </si>
  <si>
    <t>PMP®, PM4R, Prince2</t>
  </si>
  <si>
    <r>
      <rPr>
        <color rgb="FF1155CC"/>
        <u/>
      </rPr>
      <t>drtonyprensa@gmail.com</t>
    </r>
  </si>
  <si>
    <t>Gabriela Gutierrez, PMP®, es Conferencista Internacional especializada y apasionada por fortalecer el lado humano de Project Management a través de sus tres áreas de especialización interconectadas: Liderazgo, Comunicación e Influencia.
Gabriela es hondureña-canadiense, radicada en Estados Unidos, y trae consigo una perspectiva global, enriquecida por su experiencia corporativa en 7 ciudades y 4 países, en industrias como Banca, Retail de Tecnología, Transporte y Consultoría. Su formación incluye un MBA de una escuela de negocios europea y prestigiosas certificaciones internacionales, entre ellas Project Management Professional (PMP®), Gestión del Cambio de Prosci® y Mejora Continua con metodologías Lean Six Sigma.
Durante 3 años consecutivos, ha sido reconocida como una de las Top Project Management Creators en LinkedIn en Estados Unidos, reflejo de su voz, influencia e impacto en nuestra profesión.
Llega a PMI Bolivia con la enriquecedora experiencia de haber sido conferencista en más de 12 capítulos del PMI y grandes conferencias internacionales del PMI, además de escenarios de prestigiosas compañías y universidades, impactando a miles de profesionales y líderes.
Con su energía contagiosa, historias inspiradoras y estilo práctico, prepárate para aprender y llevarte ideas que podrás aplicar inmediatamente para elevar tu liderazgo.</t>
  </si>
  <si>
    <t>https://drive.google.com/open?id=1z9wcWFweLZIJraQsz585zoIBQaPCVzOA</t>
  </si>
  <si>
    <t>Liderazgo para Elevar la Gestión de Involucrados</t>
  </si>
  <si>
    <t>Del identificar interesados a involucrarlos activamente, con historias y ejemplos.</t>
  </si>
  <si>
    <t>Nelia María Ponte Vieira</t>
  </si>
  <si>
    <t>Venezuela</t>
  </si>
  <si>
    <t>+58 4241826025</t>
  </si>
  <si>
    <t>neliaponte@gmail.com</t>
  </si>
  <si>
    <t>Ruta Profesional en Gestión de Proyectos — Comunidad Estudiantil PMI Norte Perú Chapter — 2026 — Ponente / Expositora.
Scrumban para proyectos de Innovación: del backlog a la entrega de valor — IISE UNSA Chapter #618, VI Congreso Estudiantil IISE UNSA — 2026 — Ponente.
Del Dato a la Decisión: IA y Analytics para la Empresa Moderna — Microsoft Build 2026 – Community Edition — 2026 — Speaker / Ponente.
AI on Google Cloud: From Experimentation to Business Value — Google Developer Groups (GDG), Build with AI Edition — 2026 — Speaker.
Python + IA desde cero — Data Science Research Perú — 2026 — Ponente / Facilitadora.
Automatización Inteligente de Estados Financieros con Claude y Power BI — Escuela Global — 2026 — Docente / Facilitadora.
Eventos de Microsoft BI Expert — Microsoft Community — 2025–2026 — Ponente.
IA en la Gestión de Proyectos — Data Science Analysis — 2025–2026 — Docente.
IA en la Gestión de Proyectos TI — Colegio de Ingenieros del Perú, Lima — 2025–2026 — Docente.
CS WEEK Perú 2025 — IEEE Perú — 2025 — Ponente.
Thinking Out Loud – 3.ª Edición — PMI Perú — 2025 — Ponente.
Cursos de Gestión de Innovación — Certus — 2025–2026 — Docente.
Cursos de Gestión e Innovación — Inlearning Institutes — 2025–2026 — Docente.
Transformación Digital: Cloud y DevOps — Microsoft User Group Latam — 2025–2026 — Ponente.
Congreso Nacional de Comunidades Estudiantiles del PMI — PMI Lima Perú Chapter — 2024–2026 — Ponente.
Caso de Éxito: Logística 4.0 — ALEIIAF Matriz / XXXII Congreso Latinoamericano de Estudiantes e Ingenieros Industriales y Afines (CLEIN Honduras) — 2024 — Ponente de Caso de Éxito.
Innovación Tecnológica — IV Congreso de Comunidades Estudiantiles del PMI – IV CONCEPMI — 2024 — Tallerista.
Bootcamp Data Analyst &amp; Agile Project — DMC Perú — 2025–2026 — Docente en Gestión de Proyectos Ágiles.
Leader Training Lima: Transformación Digital — PMI Lima Perú Chapter — 2024 — Ponente / Invitada.
Congreso Internacional de Gestión de Proyectos — PMI Bajío México — 2025–2026 — Conferencista.
Importancia de la IA en la Gestión de Proyectos TI — GESTUM TOTAL — 2025–2026 — Conferencista.
Grupos de Estudios CAPM &amp; PMP — PMI Perú &amp; LATAM — 2025–2026 — Docente de Metodologías Ágiles.
Gestión de Proyectos TI con Scrum — IEEE UNMSM — 2025–2026 — Conferencista.
Casos de Éxito en Gestión de Proyectos Tecnológicos — PMI Lima Perú Chapter — 2025–2026 — Ponente invitada / Ganadora seleccionada.
Curso de Project Management TI — WE Educación Ejecutiva — 2025–2026 — Docente seleccionada para cursos online.
Curso de Gestión de Proyectos y Analítica de Datos — WE Educación Ejecutiva — 2025–2026 — Docente seleccionada para cursos online.
Curso de Especialización en Gestión de Proyectos &amp; MS Project — CEFIN Academy — 2025–2026 — Docente invitada.
Programa de Gestión de Proyectos con enfoque tradicional y ágil — MAYUGO — 2025–2026 — Docente invitada.
Women Techmakers Lima-UP — Women Techmakers / Lima-UP — 2025–2026 — Ponente / Facilitadora.</t>
  </si>
  <si>
    <r>
      <rPr>
        <rFont val="Liberation Serif"/>
        <color rgb="FF1155CC"/>
        <u/>
      </rPr>
      <t>www.linkedin.com/in/drtonyprensa</t>
    </r>
  </si>
  <si>
    <t xml:space="preserve">Durante los últimos cinco años he desarrollado experiencia internacional como expositora, speaker y facilitadora en gestión de proyectos, transformación digital, innovación e inteligencia artificial, participando en conferencias, talleres y sesiones magistrales dirigidas a profesionales, estudiantes y comunidades especializadas. He colaborado con organizaciones como PMI Perú, PMOGA Latam, universidades UC, Tec Monterrey, U. Norbert Wienner, UNI, y otros y comunidades tecnológicas como Microsoft User Groups, Google Developers, abordando temas de gestión predictiva y ágil, PMO, innovación, IA aplicada a proyectos, analítica de datos y transformación digital. Mi propuesta como expositora se caracteriza por integrar experiencia profesional, casos reales y herramientas digitales, traduciendo conceptos técnicos y estratégicos en aprendizajes prácticos y aplicables para distintos contextos organizacionales.
</t>
  </si>
  <si>
    <r>
      <rPr>
        <color rgb="FF1155CC"/>
        <u/>
      </rPr>
      <t>sergiolo.antequera@gmail.com</t>
    </r>
  </si>
  <si>
    <t>Comprender cómo la IA generativa y los agentes de IA están transformando el rol del Project Manager.
Identificar oportunidades concretas para incorporar IA en planificación, seguimiento, gestión de riesgos y toma de decisiones.
Conocer un modelo práctico para diseñar e implementar un AI Project Management Assistant.
Reconocer las nuevas habilidades que necesita desarrollar el Project Manager para liderar proyectos en la era de la IA.</t>
  </si>
  <si>
    <t>La sesión mostrará la evolución del Project Manager hacia el nuevo perfil de AI Project Leader.
Se explorarán casos de uso de IA en planificación, seguimiento, gestión de riesgos, reporting y toma de decisiones.
Mediante una demostración en vivo, se mostrará cómo un agente de IA puede analizar información de un proyecto y generar alertas, insights y recomendaciones.
La experiencia será 100% virtual, combinando presentación, demostración, preguntas y participación mediante herramientas digitales.
Al finalizar, los participantes estarán aptos para identificar oportunidades de aplicación de IA y definir un primer caso de uso en sus propios proyectos.</t>
  </si>
  <si>
    <t>La sesión introduce el concepto de Agentic Project Management, evolucionando del uso de la IA como simple asistente hacia agentes capaces de analizar información, identificar desviaciones, anticipar riesgos y generar recomendaciones para el Project Manager. Se presentará un modelo práctico de adopción: Identificar → Diseñar → Conectar → Automatizar → Gobernar, incorporando supervisión humana y orientación a la generación de valor.</t>
  </si>
  <si>
    <t>Al tratarse de una sesión 100% virtual, se solicita contar con una plataforma que permita compartir pantalla y, de ser posible, habilitar interacción mediante chat, encuestas o preguntas en vivo. Se requiere conexión a Internet para realizar una breve demostración de herramientas de IA aplicadas a la gestión de proyectos.</t>
  </si>
  <si>
    <t>https://drive.google.com/open?id=1Zb-eD9T3yQIwnwFRgQCekM5_s-1_r-b7</t>
  </si>
  <si>
    <r>
      <rPr>
        <color rgb="FF1155CC"/>
        <u/>
      </rPr>
      <t>romulo.lomparte@yahoo.com</t>
    </r>
  </si>
  <si>
    <t>jonatanfierro@gmail.com</t>
  </si>
  <si>
    <t>Consultoría independiente — Consultor en Gestión de Proyectos y Transformación Digital</t>
  </si>
  <si>
    <t>Sitio profesional: https://jonatan.cl
Perfil: https://www.linkedin.com/in/jonatanfierro
Práctica independiente de consultoría en dirección de proyectos y transformación digital, con foco en el sector salud y en la adopción responsable de inteligencia artificial. Expositor en el Congreso Virtual PMI Chile 2026 (https://pmi.cl/congresovirtual2026).</t>
  </si>
  <si>
    <r>
      <rPr>
        <color rgb="FF1155CC"/>
        <u/>
      </rPr>
      <t>sant_armas@yahoo.es</t>
    </r>
  </si>
  <si>
    <t>https://www.linkedin.com/in/jonatanfierro</t>
  </si>
  <si>
    <r>
      <rPr>
        <color rgb="FF1155CC"/>
        <u/>
      </rPr>
      <t>jorge.valdex@mx.proyectum.com</t>
    </r>
  </si>
  <si>
    <t>PMP®, PMI-ACP®, CSM® y CSPO® (Scrum Alliance); Talking to AI: Prompt Engineering for Project Managers y Generative AI Overview for Project Managers (PMI)</t>
  </si>
  <si>
    <t>https://drive.google.com/open?id=1sS7u_q4_5xu6XQ3ePDrN3Q_46lGACB7p</t>
  </si>
  <si>
    <r>
      <rPr>
        <rFont val="Liberation Serif"/>
        <color rgb="FF1155CC"/>
        <u/>
      </rPr>
      <t>https://www.linkedin.com/in/santiagoarmas/</t>
    </r>
  </si>
  <si>
    <r>
      <rPr>
        <color rgb="FF1155CC"/>
        <u/>
      </rPr>
      <t>cahugomez@gmail.com</t>
    </r>
  </si>
  <si>
    <t>Título: Inteligencia artificial en la dirección de proyectos: del PMBOK® 7 al PMBOK® 8
Organización: Capítulo PMI Santiago, Chile — Congreso Virtual PMI Chile 2026
Año: 2026
Modalidad: virtual, audiencia nacional del capítulo
Programa oficial: https://pmi.cl/congresovirtual2026
Persona de referencia: Luis Valdivia, Vicepresidente de Programas, Capítulo PMI Santiago — luis.valdivia@pmi.cl / +56 9 9231 0088</t>
  </si>
  <si>
    <t>Mi experiencia como expositor se ha desarrollado en dos planos. En congresos, expuse en agosto de 2026 en el Congreso Virtual PMI Chile 2026: una sesión de dos bloques en la que tuve a cargo el de aplicación práctica, ante la audiencia nacional del capítulo y en modalidad virtual, lo que exigió coordinar guion, tiempos y transiciones con el otro expositor y sostener un caso conductor a lo largo de toda la presentación.
En el plano profesional, exponer ante audiencias es parte habitual de mi trabajo desde hace más de una década: durante ocho años como Ingeniero y luego Jefe de Proyectos TI presenté avances, decisiones técnicas y resultados ante comités internos, clientes institucionales y proveedores, y diseñé y dicté capacitaciones para equipos técnicos y no técnicos. Como consultor mantengo esa práctica acompañando a equipos no técnicos en la adopción de inteligencia artificial, donde el desafío es exactamente el mismo: hacer comprensible y accionable un contenido técnico para una audiencia que no lo es.
Trabajo con material propio, apoyo visual sobrio y un caso que ordene la exposición de principio a fin.</t>
  </si>
  <si>
    <t>1. Distinguir los tres modos de uso de la IA en dirección de proyectos —automatización, asistencia y aumento— y determinar cuál corresponde a cada tarea del proyecto.
2. Aplicar criterios de gobernanza previa al uso para decidir si una tarea admite IA, con qué datos y con qué nivel de supervisión humana (HITL / HOTL).
3. Validar una recomendación generada por IA antes de incorporarla a una decisión del proyecto, mediante una lista de verificación aplicable de inmediato.</t>
  </si>
  <si>
    <t>Cómo incorporar inteligencia artificial en la dirección de proyectos sin ceder el juicio profesional, en la transición del PMBOK® 7 al PMBOK® 8. La sesión recorre tres momentos: los modos de uso —automatización, asistencia y aumento— y su asignación a las tareas del proyecto; la gobernanza previa al uso, es decir qué decidir antes de abrir la herramienta, con qué datos y con qué nivel de supervisión humana (HITL / HOTL); y la validación de las recomendaciones antes de llevarlas a una decisión. Metodología: presentación con apoyo visual sobrio, un caso conductor que atraviesa toda la sesión y dos pausas de interacción con el público a través del chat. Cuando esta sesión finalice, los participantes estarán aptos para decidir si una tarea de su proyecto admite IA, definir el nivel de supervisión que requiere y validar una recomendación antes de incorporarla a una decisión.</t>
  </si>
  <si>
    <t>El aporte no está en los conceptos, que ya circulan en la comunidad, sino en convertirlos en un procedimiento aplicable al día siguiente.
La sesión presenta una lista de verificación de gobernanza previa al uso, diseñada para las tareas del director de proyectos y no para la política de IA de la organización, que resuelve tres preguntas antes de abrir la herramienta: qué tipo de tarea es, qué datos admite y qué nivel de supervisión humana requiere.
Sobre esa base, el marco automatización / asistencia / aumento se usa como criterio de decisión y no como taxonomía descriptiva, y los niveles de supervisión humana (HITL / HOTL) se traducen a puntos concretos de los procesos de dirección de proyectos. Todo se recorre sobre un caso conductor, de modo que los asistentes vean tomar la decisión y no solo escuchen describirla.</t>
  </si>
  <si>
    <t>Agradecería contar con el ensayo técnico previo que ofrece el capítulo, para calibrar tiempos y transiciones en la plataforma del evento.
Solicito además que el moderador reserve los últimos 8 minutos para preguntas del chat: la sesión está diseñada para cerrar aplicando el contenido a situaciones planteadas por los asistentes.
Por último, si la organización lo estima pertinente, me gustaría poner la lista de verificación a disposición de los participantes como material de apoyo descargable, sin marca comercial ni contenido promocional de ningún tipo.</t>
  </si>
  <si>
    <r>
      <rPr>
        <color rgb="FF1155CC"/>
        <u/>
      </rPr>
      <t>carlos.ruiz@opexonlineacademy.org</t>
    </r>
  </si>
  <si>
    <t>https://drive.google.com/open?id=1WQwHiBooaphHFYNeR-wzZyu5KDxwlTQn</t>
  </si>
  <si>
    <t>+51 912 825 885</t>
  </si>
  <si>
    <t>Jose.reyes@pcertificate.com administracion@pcertificate.com</t>
  </si>
  <si>
    <t>Nicaragua (por confirmar)</t>
  </si>
  <si>
    <t>arellano_marco@yahoo.com</t>
  </si>
  <si>
    <r>
      <rPr>
        <color rgb="FF1155CC"/>
        <u/>
      </rPr>
      <t>nrodriguez@tetraimpacts.com</t>
    </r>
  </si>
  <si>
    <t xml:space="preserve">Marco Antonio Arellano Hervoso </t>
  </si>
  <si>
    <t>PMI Bolivia Chapter</t>
  </si>
  <si>
    <r>
      <rPr>
        <rFont val="Liberation Serif"/>
        <color rgb="FF1155CC"/>
        <u/>
      </rPr>
      <t>https://es.linkedin.com/posts/jos%C3%A9-miguel-reyes-15a38a62_casi-4-a%C3%B1os-desde-que-se-cre%C3%B3-certificate-activity-7235088263013675008-08Pi</t>
    </r>
  </si>
  <si>
    <t>https://pmisantacruz.org/</t>
  </si>
  <si>
    <r>
      <rPr>
        <color rgb="FF1155CC"/>
        <u/>
      </rPr>
      <t>jonatanfierro@gmail.com</t>
    </r>
  </si>
  <si>
    <t>https://www.linkedin.com/in/marco-arellano-phd-pmp/</t>
  </si>
  <si>
    <t>Sergio Candelo</t>
  </si>
  <si>
    <r>
      <rPr>
        <color rgb="FF1155CC"/>
        <u/>
      </rPr>
      <t>tanyshkalewis1105@gmail.com</t>
    </r>
  </si>
  <si>
    <t>Super PMs. Liderar con Alma en la era de la incertidumbre</t>
  </si>
  <si>
    <t>Qué hacer con el tiempo que la IA devuelve: perfiles de PM, neurociencia y PMBOK 8.</t>
  </si>
  <si>
    <t>+5491155992541</t>
  </si>
  <si>
    <r>
      <rPr>
        <color rgb="FF1155CC"/>
        <u/>
      </rPr>
      <t>scandelo@gmail.com</t>
    </r>
  </si>
  <si>
    <t>https://drive.google.com/open?id=1YCGT6TKvTNliZGNw49fXO-eYFArsKE0a</t>
  </si>
  <si>
    <r>
      <rPr>
        <rFont val="Liberation Serif"/>
        <color rgb="FF1155CC"/>
        <u/>
      </rPr>
      <t>https://www.linkedin.com/in/sergio-candelo/</t>
    </r>
  </si>
  <si>
    <r>
      <rPr>
        <color rgb="FF1155CC"/>
        <u/>
      </rPr>
      <t>echaconp@uni.pe</t>
    </r>
  </si>
  <si>
    <t xml:space="preserve">1)	Título de la presentación - Gobernanza digital múltiple
•	Capítulo PMI República Dominicana
•	2023
•	Milena Milanova, Presidente PMI RD
2)	Negocios y Estrategia – Diseño de una PMO con la metodología Value Ring para el sector de Oil&amp;Gas
•	Capítulo PMI Santiago, Chile
•	2021
•	Alfonso Barraza, Past Presidente de PMI Chile
3)	PMBOK 7-ma Edición y sus cambios
•	Capítulo PMI Buenos Aires, Argentina
•	2021
•	Iris Castañaga
4)	Título de la presentación - Gobernanza digital: un desafío para las organizaciones en el éxito de sus negocios
•	Capítulo PMI Santa Cruz, Bolivia
•	2020
•	Fabio Sandoval, Presidente PMI RD
5)	Título de la presentación: - Gobernanza: un factor de éxito en Dirección de Proyectos
•	Capítulo PMI Piura / Cajamarca / Lima, Perú
•	2018
•	Manuel Asmat, Miguel Cotrina y Eduardo Bazo, Presidentes de los capítulos PMI Piura, Cajamarca y Lima.
</t>
  </si>
  <si>
    <t xml:space="preserve">Desde 2010 a la fecha vengo participando anualmente en varios congresos internacionales del PMI en LATAM con temas relacionados a la Dirección de Proyectos, Gobernanza y Liderazgo. Soy estudioso de la Gobernanza de aprobación de proyectos, he desarrollado varios estudios y modelos sobre la misma en línea con la evolución de las nuevas tecnologías, enfoques y valor que esta genera para el éxito de los proyectos. Dichos estudios han sido presentados varios congresos. Soy conocedor y referente de la Guía sobre Gobernanza de proyectos, programas y portafolios, Guía sobre PMO y Navegación por la Complejidad del PMI.
En 2024 y 2025 fui Patrocinador y organizador general del Congreso Internacional de Dirección de Proyectos: Tour LATAM – Bolivia. </t>
  </si>
  <si>
    <t>De la idea al valor: Ges􀆟ón con􀆟nua de valor y velocidad organizacional para maximizar los resultados empresariales</t>
  </si>
  <si>
    <t>Comprender y aplicar el modelo CVML como marco integrado que conecta estrategia, iniciativas, proyectos, inversiones, beneficios y valor.
Diferenciar beneficio y valor, diseñando mecanismos que aseguren la transformación de beneficios en resultados estratégicos sostenibles.
Fortalecer la toma de decisiones mediante portafolios progresivos, gobernanza múltiple y velocidad organizacional como capacidades estratégicas.
Reducir la brecha entre valor esperado y valor realizado a través de validación continua de beneficios, evaluaciones post‑EVTE y gobernanza adaptativa.</t>
  </si>
  <si>
    <t>Presentar el modelo Continuous Value Management Lifecycle (CVML) como marco integrado para conectar estrategia, iniciativas, proyectos, inversiones, beneficios y valor.
Explicar la diferencia entre beneficio y valor, destacando su impacto en la toma de decisiones estratégicas.
Introducir capacidades clave: Velocidad Organizacional para la Toma de Decisiones y Gobernanza Múltiple, aplicadas según la naturaleza de cada inversión.
Metodología: exposición en PPT clásico, apoyada con gráficos, multimedia y espacios de interacción con los participantes.
Conclusión: Cuando esta sesión finalice, los participantes estarán aptos para diseñar y aplicar mecanismos de gestión continua del valor, diferenciando beneficio y valor, fortaleciendo la gobernanza adaptativa y mejorando la calidad y oportunidad de las decisiones de inversión.</t>
  </si>
  <si>
    <t>Sergio Candelo es Licenciado en Economía (Universidad Nacional de La Plata) y Magíster en Economía (Universidad Torcuato Di Tella). Es cofundador y Director de Operaciones (COO) de Snoop Consulting, consultora de tecnología con sede en Buenos Aires y más de 25 años de trayectoria en el mercado.
Fue presidente de CESSI (Cámara de la Industria Argentina del Software) entre 2019 y 2023, donde continúa como asesor de su consejo consultivo, y presidente de PMI Buenos Aires entre 2018 y 2019. Actualmente lidera la Comunidad de Interés en Inteligencia Artificial de PMI. Su autoridad en dirección de proyectos surge de más de 20 años gestionando las operaciones con clientes de Snoop, más que de una certificación formal.
En docencia, dicta la materia de Dirección de Proyectos en la UADE. Es columnista habitual en medios argentinos como iProfesional, Infobae, Ámbito, El Economista, entre otros, donde escribe en la intersección entre tecnología, economía y comportamiento humano, desarrollando marcos propios como "Usuario vs. Director", "Homo Consciente", "Soberanía Cognitiva" y "Rendición Cognitiva".
Como expositor, se especializa en aplicaciones de IA en contextos de negocio. Participó en agosto en las Jornadas Argentinas de Informática (JAIIO) con una charla sobre la relación universidad-industria frente a la disrupción de la IA. En septiembre de 2026 presentó "Soberanía Cognitiva" en Paraná, invitado por AFIDEER/UADER. Actualmente prepara el keynote "Super PMs: Liderar con Alma" para el XVII Congreso Internacional de PMI Panamá 2026.
En 2025 fue distinguido con el Premio Sadosky en la categoría Empresario del Año, reconocimiento otorgado por voto de la comunidad de la industria del software argentina a su trayectoria de 25 años construyendo un ecosistema tecnológico colaborativo</t>
  </si>
  <si>
    <t>El concepto innovador que se expondrá es el Continuous Value Management Lifecycle (CVML), un modelo desarrollado para integrar de manera continua estrategia, iniciativas, proyectos, inversiones, beneficios y valor en un sistema único de gobernanza.
🔹 Innovación principal: transformar la gestión tradicional de proyectos en una gestión continua del valor, incorporando dos capacidades estratégicas: Velocidad Organizacional para la Toma de Decisiones y Gobernanza Múltiple, que permiten decisiones oportunas y adaptadas a cada tipo de inversión.
🔹 Metodología de exposición: presentación en PPT clásico, apoyada con gráficos comparativos, multimedia explicativa y espacios de interacción con los participantes.
🔹 Herramienta habilitadora: la Value Management Office (VMO), concebida como un integrador organizacional que asegura trazabilidad, aprendizaje y captura sostenible de valor.
En síntesis, se presentará un enfoque que convierte la generación de valor en una capacidad organizacional permanente, más allá de la ejecución de proyectos individuales.</t>
  </si>
  <si>
    <t>Oratoria y trayectoria de nivel 3; sin certificación PMI.</t>
  </si>
  <si>
    <t>https://drive.google.com/open?id=1aP34hMhsWGWBXh-9NrgTMeicuOzaFEP1</t>
  </si>
  <si>
    <r>
      <rPr>
        <color rgb="FF1155CC"/>
        <u/>
      </rPr>
      <t>scandelo@gmail.com</t>
    </r>
  </si>
  <si>
    <t>GMT+1</t>
  </si>
  <si>
    <r>
      <rPr>
        <color rgb="FF1155CC"/>
        <u/>
      </rPr>
      <t>adominguez@beinn.es</t>
    </r>
  </si>
  <si>
    <t>Manuel Benítez Codas</t>
  </si>
  <si>
    <t>+595982414272</t>
  </si>
  <si>
    <r>
      <rPr>
        <color rgb="FF1155CC"/>
        <u/>
      </rPr>
      <t>mbenitezcodas@gmail.com</t>
    </r>
  </si>
  <si>
    <t>tanyshkalewis1105@gmail.com</t>
  </si>
  <si>
    <t>Dell-Computers Panama</t>
  </si>
  <si>
    <t>Empresa de Tecnologia Multinacional, https://www.dell.com/es-pa/lp https://www.linkedin.com/company/delltechnologies/posts/</t>
  </si>
  <si>
    <t>507-67278400</t>
  </si>
  <si>
    <t>Fundador del PMI Asunción; una sola presentación fechada; sin PMP.</t>
  </si>
  <si>
    <r>
      <rPr>
        <rFont val="Liberation Serif"/>
        <color rgb="FF1155CC"/>
        <u/>
      </rPr>
      <t>https://www.linkedin.com/in/anabeldominguezpardo/</t>
    </r>
  </si>
  <si>
    <t>El Prof. Dr. Manuel María Benítez Codas es un reconocido consultor internacional en ingeniería, gestión de proyectos y políticas públicas, con más de 40 años de trayectoria liderando iniciativas para organismos multilaterales como el BID, el Banco Mundial, la CAF y la Unión Europea. Es Ingeniero Electricista, Doctor en Ciencias de la Empresa y Magíster en Educación Superior, además de destacar por su rol institucional como fundador y primer Presidente del PMI Capítulo Asunción, Consejero Titular del CONACYT y Presidente del Consejo Directivo de CEAMSO.
Su perfil combina una sólida base técnica y gerencial en áreas clave como la dirección de proyectos bajo metodologías PMO, PM4R y Ágile, la planificación estratégica, la reingeniería organizacional y la implementación de sistemas de calidad e inteligencia artificial aplicada. Cuenta con una vasta experiencia en proyectos emblemáticos de infraestructura y energía —tales como la central hidroeléctrica Agua Vermelha y el Tren de Cercanías Asunción–Ypacaraí—, así como en consultorías estratégicas para ministerios y agencias internacionales.
En el ámbito académico y directivo, se ha desempeñado como docente de grado y posgrado, director de carreras y de posgrado en la FIUNA, y formador de profesionales a nivel nacional e internacional. Su excelencia ha sido reconocida con múltiples distinciones académicas y certificaciones internacionales de alto nivel, consolidándolo como una figura clave en el desarrollo productivo, la gobernanza universitaria y la competitividad del Paraguay.</t>
  </si>
  <si>
    <t>IAG más allá de la herramienta</t>
  </si>
  <si>
    <t>IA generativa unida al criterio experto (modelo del «profesional centauro»).</t>
  </si>
  <si>
    <t>Stalin Rivas</t>
  </si>
  <si>
    <t>https://www.linkedin.com/in/tanyshka-lewis-a05616352/</t>
  </si>
  <si>
    <t>República Dominicana (por confirmar)</t>
  </si>
  <si>
    <t>+1 829 281 0630</t>
  </si>
  <si>
    <r>
      <rPr>
        <color rgb="FF1155CC"/>
        <u/>
      </rPr>
      <t>stalin.rivas@gmail.com</t>
    </r>
  </si>
  <si>
    <t>Certificaciones sólidas; referencias solo en un CV no revisado. Provisional.</t>
  </si>
  <si>
    <t xml:space="preserve">Stalin Rivas es Ingeniero de Sistemas de Información, Master en Project Management y profesional certificado PMP, PMI-ACP, PMI-SP, CSP-SM, CSP-PO y DASSM, con más de 20 años de experiencia en tecnología y más de 15 años liderando proyectos y programas de transformación digital en América Latina. 
Actualmente es Socio Fundador y Gerente General de Wepsys Latam (Panamá) y de Insoltech, una software factory especializada en desarrollos de alta complejidad, además de consultor en dirección de proyectos a través de Aloes Project Management Solutions.
A lo largo de su carrera ha liderado iniciativas estratégicas en sectores como banca, gobierno y retail, participando en proyectos financiados por organismos internacionales como el BID, FIDA y PNUD, y dirigiendo implementaciones tecnológicas de gran escala en múltiples países de la región.
Es conferencista internacional y formador de profesionales en dirección de proyectos, con participación en congresos del PMI, APCON y eventos especializados en agilidad y transformación digital. Su enfoque combina la gestión predictiva, ágil e híbrida con una visión orientada a resultados y generación de valor.
Stalin también es un activo generador de contenido en LinkedIn, donde aborda temas como la evolución de la PMO hacia la VMO, la agilidad empresarial, la gobernanza en entornos complejos y el impacto de la inteligencia artificial en el desarrollo de software.
Su trabajo se centra en cerrar la brecha entre estrategia, ejecución y tecnología, ayudando a las organizaciones a operar con mayor eficiencia, adaptabilidad y enfoque en valor.
</t>
  </si>
  <si>
    <t>De asistentes a agentes: Transformando la dirección de proyectos mediante IA Agéntica</t>
  </si>
  <si>
    <t>IA agéntica integrada al ciclo de vida del software y del proyecto.</t>
  </si>
  <si>
    <t>René Neira Marín</t>
  </si>
  <si>
    <t>https://drive.google.com/open?id=1SjiTBcNdEWL50OUHwi139uKBEglIBsiI</t>
  </si>
  <si>
    <t>+56976981737</t>
  </si>
  <si>
    <r>
      <rPr>
        <color rgb="FF1155CC"/>
        <u/>
      </rPr>
      <t>rene.neira.marin@gmail.com</t>
    </r>
  </si>
  <si>
    <r>
      <rPr>
        <color rgb="FF1155CC"/>
        <u/>
      </rPr>
      <t>bustosdaniel73@gmail.com</t>
    </r>
  </si>
  <si>
    <t xml:space="preserve">•  Dell Technologies — conferencias internas de liderazgo y desarrollo de equipos (2023–2024). Miladi Arteaga, ex colaboradora de Dell Panama Email Miladi.arteaga@gmail.com
•  ASOCSA — conferencia corporativa (2026). Yaniselis Jaen Presidenta PMI Panama email  itzelfalconett@gmail.com
•  Cooperativa Cropocal — conferencia corporativa (2026). Karol Ruiz email ruizkaro@gmail.com
•  Banco Interamericano de Desarrollo (BID) — conferencia institucional (2025). Karol Ruiz email ruizkaro@gmail.com
</t>
  </si>
  <si>
    <t>Para mí, ser expositora es un acto de entrega. Más que compartir conocimiento, mi propósito es abrir un espacio donde las personas puedan conocerse mejor a sí mismas y a los demás, para impulsar su desarrollo personal e identificar oportunidades hacia el futuro. Lo más gratificante es ver la diferencia entre cómo llegan y cómo se van: el cambio en su energía, en su manera de sentirse, es la razón por la que hago esto.</t>
  </si>
  <si>
    <t>Dos presentaciones en 2026; PMP; presidente de PMI Norte Chile.</t>
  </si>
  <si>
    <t>Ingeniero Civil de la Universidad Católica del Norte, Project Management Professional (PMP®) y con doble MBA de la Universidad Andrés Bello y Universidad Europea. Amplia trayectoria liderando megaproyectos y proyectos mineros EPC en empresas nacionales e internacionales. Experto en control de programas, gestión de equipos multidisciplinarios y cumplimiento de hitos críticos. Actualmente Presidente de PMI Norte Chile Chapter, promoviendo estándares de excelencia en gestión de proyectos. Comprometido con la seguridad, innovación y desarrollo estratégico en el sector minero e industrial.</t>
  </si>
  <si>
    <t>Inteligencia Artificial para la Planificación y el Control de Proyectos</t>
  </si>
  <si>
    <t>IA en planificación, riesgos, monitoreo y control según PMBOK 8 (automatización, asistencia, aumento).</t>
  </si>
  <si>
    <t>Objetivos de la Presentación
La Ciencia de los lideres que Transforman Proyecto
A. Autoconocimiento del líder
Que cada participante identifique su perfil de personalidad dominante y comprenda cómo este influye en su estilo de liderazgo, toma de decisiones y comunicación con los demás.
B. Comprensión de la diversidad en equipos
Reconocer los cinco perfiles de personalidad , sus fortalezas, desafíos y las fricciones naturales que generan entre sí, para mejorar la dinámica del equipo.
C. Comunicación adaptativa
Desarrollar la habilidad de adaptar el mensaje, el estilo de liderazgo y el feedback según el perfil del interlocutor, reduciendo conflictos y mejorando la coordinación interáreas.
D. Equilibrio y bienestar del líder
Proporcionar herramientas concretas de equilibrio personal (técnicas de respiración, mindfulness, empatía) que complementen el desarrollo del liderazgo desde adentro hacia afuera.</t>
  </si>
  <si>
    <t>Carlos Schellenberg</t>
  </si>
  <si>
    <r>
      <rPr>
        <rFont val="Liberation Serif"/>
        <color rgb="FF1155CC"/>
        <u/>
      </rPr>
      <t>www.linkedin.com/in/daniel-bustos-valdivieso-376166</t>
    </r>
  </si>
  <si>
    <t>Uruguay</t>
  </si>
  <si>
    <t>La Ciencia de los lideres que Transforman Proyecto es una conferencia vivencial basado en la herramienta de psicogeometría, que permite a los participantes identificar su perfil de personalidad a través de cinco figuras geométricas:. Cada perfil revela un estilo único de liderazgo, comunicación y toma de decisiones, ayudando a los líderes a comprender por qué las personas piensan, actúan y se comunican de manera diferente. A través de la conferencia , los participantes aprenden a adaptar su estilo de liderazgo según el perfil de sus colaboradores. El taller conecta el autoconocimiento con la acción concreta, entregando herramientas de comunicación adaptativa, protocolos de coordinación y  El resultado es un equipo de líderes más conscientes de sí mismos, más empáticos con los demás y mejor equipados para construir culturas de trabajo colaborativas y de alto rendimiento.</t>
  </si>
  <si>
    <t>+598 91403949</t>
  </si>
  <si>
    <r>
      <rPr>
        <color rgb="FF1155CC"/>
        <u/>
      </rPr>
      <t>Carlos.Schellenberg@evolutionconsultora.com</t>
    </r>
  </si>
  <si>
    <t>La Psicogeometría es una herramienta que usa cinco figuras geométricas para identificar estilos de personalidad y liderazgo de forma rápida e intuitiva. Su ventaja frente a otras metodologías es que el diagnóstico es inmediato, visual y no requiere cuestionarios extensos.
La propuesta metodológica combina tres elementos: diagnóstico grupal en tiempo real, aprendizaje vivencial a través de dinámicas que replican conflictos reales del trabajo, y entregables concretos que el equipo puede aplicar desde el día siguiente.</t>
  </si>
  <si>
    <t xml:space="preserve">Audio visual, Internet </t>
  </si>
  <si>
    <t>https://drive.google.com/open?id=1KdBfaf3e6uY276SQ_nS8A1cHpbcMR63M</t>
  </si>
  <si>
    <t>PMP, PMI-ACP, CPMAI; oratoria de paneles y moderación.</t>
  </si>
  <si>
    <t xml:space="preserve">Carlos Schellenberg es Ingeniero de Sistemas egresado de la Universidad de la República (UDELAR, Uruguay), Project y Product Manager senior con más de 15 años de experiencia en FinTech, medios de pago y proyectos de inteligencia artificial en América Latina y en iniciativas de alcance global. Acompaña a organizaciones en la adopción de IA, desde la identificación de casos de uso hasta su integración en la operación, y actualmente es Fintech Business Partner de DaMap.tech, plataforma de conciliación financiera automatizada con IA. 
En Damap ayuda a CFOs y equipos de finanzas de empresas con alto volumen transaccional a pasar de 8 horas diarias de conciliación manual a 8 minutos, con automatización basada en IA.
Es instructor de cursos de preparación para la certificación PMI-CPMAI™ para profesionales de dirección de proyectos en Latinoamérica. Mentor y Consultor.
Es Vicepresidente del PMI Capítulo Montevideo, donde lidera el Centro de Excelencia en Inteligencia Artificial para Project Managers. Cuenta con las certificaciones PMI-CPMAI™, PMP® y PMI-ACP®, además de PSM®/CSM®, CSPO®, SAFe® Agilist e ITIL®, y completó programas de especialización en AI Product Management (Duke University), Generative AI Strategic Leader (Vanderbilt University) y Executive Data Science (Johns Hopkins University). 
Es docente de Ingeniería de Software en la Facultad de Ingeniería de la Universidad de la Empresa (UDE); anteriormente dictó Bases de Datos en la Universidad ORT e Ingeniería de Software y Bases de Datos en el Universitario Autónomo del Sur. Es autor entre otros del artículo «Inteligencia Artificial en la Gestión de Proyectos: cuando el proyecto es la IA» (Revista de la Facultad de Ingeniería, UDE, diciembre de 2026) y escritor habitual del Newsletter de PMI Mdeo.
Ha participado como expositor y panelista en el Congreso Internacional del PMI Montevideo, el Global Blockchain Summit y la Red de Estudio LATAM del PMI-ACP. En 2022 recibió el Premio LatAm PM Excellence otorgado por PMI.
</t>
  </si>
  <si>
    <t>Cuando el proyecto es la IA: cómo gestionar proyectos de inteligencia artificial con el nuevo estándar de PMI y la metodología CPMAI</t>
  </si>
  <si>
    <t>Estándar de IA del PMI y seis fases de CPMAI con un caso de detección de fraude.</t>
  </si>
  <si>
    <t>Carlos Daniel Briceño Burgos</t>
  </si>
  <si>
    <t>+947678580</t>
  </si>
  <si>
    <r>
      <rPr>
        <color rgb="FF1155CC"/>
        <u/>
      </rPr>
      <t>carlos.briceno@pminorteperu.org</t>
    </r>
  </si>
  <si>
    <t>echaconp@uni.pe</t>
  </si>
  <si>
    <t>ERIK CHACON PILLPA</t>
  </si>
  <si>
    <t>SUPERVISOR</t>
  </si>
  <si>
    <t>Cinco presentaciones 2021–2026, mayormente sesiones de estudio; PMP.</t>
  </si>
  <si>
    <t>STATKRAFT</t>
  </si>
  <si>
    <r>
      <rPr>
        <color rgb="FF1155CC"/>
        <u/>
      </rPr>
      <t>mbenitezcodas@gmail.com</t>
    </r>
  </si>
  <si>
    <t xml:space="preserve">Ingeniero de Sistemas por la Universidad Nacional de Trujillo (UNT) especializado en Tecnologías de Información, Dirección de Proyectos y Gobierno Digital, egresado de la Maestría en Gerencia de Tecnologías de Información y Comunicaciones por la Universidad Privada Antenor Orrego (UPAO). Certificado como Project Management Professional (PMP®), PMI Agile Certified Practicioner (PMI-ACP®) por el Project Management Institute (PMI®), Scrum Master (SMPC®), Scrum Developer (SDPC®), Scrum Product Owner (SPOPC®), OKR Certified Professional (OKRCP®) por CERTIPROF e ITIL® FOUNDATION CERTIFICATE IN IT SERVICE IN IT SERVICE MANAGEMENT por PEOPLECERT.
Miembro y voluntario en PMI® Norte Perú Chapter por más de 8 años, participando como Project Manager, Instructor y Conferencista sobre Dirección de Proyectos y liderando la gestión integral de eventos presenciales y virtuales de alto impacto. Nominado al voluntario del año por PMI® Latinoamérica en 2022. Ha sido elegido vicepresidente de Eventos para el periodo 2020 – 2023 y vicepresidente de Comunicaciones para el periodo 2023 – 2025. Actualmente ocupa el cargo de Presidente Electo.
Con más de 14 años de experiencia profesional, ocupando posiciones de liderazgo. Ha dirigido proyectos de tecnología e innovación en los sectores de Educación, Minería y Sector Público asociados a Gobierno de Datos y Arquitectura Empresarial. </t>
  </si>
  <si>
    <t>MAPA: de la Estructura del Desglose del Trabajo a la Estructura del Desglose del Valor</t>
  </si>
  <si>
    <t>Framework MAPA para vincular beneficios con paquetes de trabajo de la EDT.</t>
  </si>
  <si>
    <t>Fabian Schwartz</t>
  </si>
  <si>
    <t>Alemania</t>
  </si>
  <si>
    <t>https://linkedin.com/in/erikchaconp</t>
  </si>
  <si>
    <t>+573214343553</t>
  </si>
  <si>
    <r>
      <rPr>
        <color rgb="FF1155CC"/>
        <u/>
      </rPr>
      <t>fabian@scrumnetwork.com</t>
    </r>
  </si>
  <si>
    <r>
      <rPr>
        <rFont val="Liberation Serif"/>
        <color rgb="FF1155CC"/>
        <u/>
      </rPr>
      <t>https://www.linkedin.com/in/manuel-benitez-codas-704a864/</t>
    </r>
  </si>
  <si>
    <t>PMP y 25 años; «100+ conferencias» sin eventos ni años.</t>
  </si>
  <si>
    <t>Fabian Schwartz es conferencista internacional, autor y asesor en estrategia y transformación empresarial. Como CEO de Scrum Network, ayuda a líderes a conectar la estrategia con la ejecución y a integrar la inteligencia artificial para mejorar las decisiones y el desempeño organizacional.
Cuenta con más de 25 años de experiencia y ha trabajado con más de 200 organizaciones en cuatro continentes. Es ingeniero de sistemas formado en Alemania, tiene un MBA de Macquarie University, Australia, y formación ejecutiva y continua en Harvard Business School y Stanford University.
Es creador de VELO5™, una arquitectura de gestión que integra visión, ejecución, liderazgo y cultura, organización e inteligencia aumentada. Este enfoque conecta el criterio humano con las capacidades de la IA y orienta el diseño de organizaciones capaces de aprender, decidir y ejecutar con mayor efectividad.
Ha sido docente universitario de tecnología y dirección de proyectos en Europa y América Latina, y ha impartido más de cien charlas y conferencias. Es autor de Scrum. Las estrategias del juego: es póker, no ajedrez y conductor de Accelerate, un podcast sobre liderazgo y transformación empresarial.
Versión breve
Fabian Schwartz es conferencista internacional, autor y CEO de Scrum Network. Con más de 25 años de experiencia y trabajo con más de 200 organizaciones en cuatro continentes, asesora a líderes en estrategia y transformación empresarial con inteligencia artificial. Es creador de VELO5™, una arquitectura de gestión que integra visión, ejecución, liderazgo y cultura, organización e inteligencia aumentada para mejorar la forma en que las empresas deciden y generan resultados.</t>
  </si>
  <si>
    <t>Agilidad + IA para una transformación inteligente</t>
  </si>
  <si>
    <t>Agilidad e IA con prueba de concepto en una aseguradora y arquitectura VELO5.</t>
  </si>
  <si>
    <t>Iván José Mendoza Moya</t>
  </si>
  <si>
    <t>https://drive.google.com/open?id=1EMq0SxlQW6uxKv2Xzv-XClTgZrKnqtQQ</t>
  </si>
  <si>
    <t>+59171707886</t>
  </si>
  <si>
    <r>
      <rPr>
        <color rgb="FF1155CC"/>
        <u/>
      </rPr>
      <t>postgrado777@gmail.com</t>
    </r>
  </si>
  <si>
    <t>Seis presentaciones PMI Bolivia 2021–2025, una sola referencia; sin certificación PMI (en proceso).</t>
  </si>
  <si>
    <t>Iván J. Mendoza Moya es Director de la PMO (Oficina de Dirección de Proyectos) en la Empresa Constructora Polaris, en Bolivia. Cuenta con más de dos décadas de trayectoria dirigiendo proyectos tecnológicos, portafolios y oficinas de gestión de proyectos en los sectores minero, hidroeléctrico, construcción, metalurgia y manufactura, incluidos consorcios internacionales como el proyecto hidroeléctrico Misicuni. Su práctica se centra en gobernanza de portafolios, gestión de riesgos, ingeniería de costos y transformación digital, con más de 50 proyectos estratégicos de ERP, CRM, LMS, inteligencia de negocios y plataformas en la nube.
Es Ingeniero de Sistemas y MBA. Es docente universitario de pregrado y posgrado en Bolivia, España, México y Perú, entre otras en la Universidad Católica Boliviana, la Universidad Complutense de Madrid y Arizona State University / UAG, y ha dirigido más de 100 trabajos de grado y tesis. Es conferencista recurrente de PMI Bolivia, donde presentó en el TourLATAM 2024 y en cuatro sesiones durante 2025. Aplica marcos como PMBOK 6/7, Scrum, ITIL, COBIT, SDI 2.0 y DISC. Es coautor de libros en preparación sobre gestión de proyectos complejos y autor de artículos sobre modelos dinámicos y arquitecturas de decisión.</t>
  </si>
  <si>
    <t>Caos, incertidumbre y decisiones: el costo que ningún informe registra</t>
  </si>
  <si>
    <t>Costo de la divergencia entre quienes deciden: dinámica en vivo con la audiencia sobre un caso.</t>
  </si>
  <si>
    <t>Gustavo Conejo</t>
  </si>
  <si>
    <t>• 27 abr 2025: Ponente “Roles y Comunicación en el Análisis de Negocios” – PMI Camp Power 2025.
• 22 nov 2024: Ponente sobre supervisión y desafíos en la operación de centrales hidroeléctricas – ACI PUCP.
• 05 oct 2024: Ponente sobre equipos de alto rendimiento en entornos complejos – UNASAM y PMI Lima
Perú Chapter.
• 21 set 2024: Ponente sobre gestión ágil de proyectos – UNAMBA y PMI Lima Perú Chapter.
• 29 jun 2024: Ponente sobre gestión de energías renovables para el desarrollo rural sostenible – DESI y PMI
Lima Perú Chapter.
• 11 nov 2023: “Vulnerabilidad hidrológica del Perú bajo escenarios AR6 del IPCC.” – Congreso Nacional del
Agua.
• 15 ago 2021: “Modelación Monte Carlo aplicada a la seguridad de presas.”
• 15 dic 2020: “Impacto del Cambio Climático en la Generación de Energía Hidroeléctrica y sus Efectos ante
Eventos Extremos.” – Instituto de Investigación de la Facultad de Ingeniería Civil, Universidad Nacional de
Ingeniería.</t>
  </si>
  <si>
    <t>Costa Rica</t>
  </si>
  <si>
    <t>Durante los últimos cinco años he participado como expositor en conferencias, congresos y actividades académicas y profesionales, abordando temas relacionados con gestión de proyectos, gestión ágil, liderazgo y equipos de alto rendimiento, energías renovables, infraestructura hidroeléctrica, análisis de negocios y gestión de riesgos. He realizado ponencias en espacios organizados por el PMI Lima Perú Chapter, universidades y otras instituciones, dirigidas a estudiantes y profesionales. Esta experiencia me ha permitido comunicar contenidos técnicos y de gestión de manera clara, vinculando conceptos y buenas prácticas con experiencias y casos de aplicación en el sector energía y proyectos de infraestructura.</t>
  </si>
  <si>
    <t>+50688728060</t>
  </si>
  <si>
    <r>
      <rPr>
        <color rgb="FF1155CC"/>
        <u/>
      </rPr>
      <t>gustavo.conejo@pmicr.org</t>
    </r>
  </si>
  <si>
    <t xml:space="preserve">• Mostrar cómo los datos históricos de programación y ejecución presupuestaria pueden transformarse en indicadores útiles para evaluar el desempeño de proyectos de inversión pública.
• Explicar la aplicación de inteligencia artificial y aprendizaje automático para identificar patrones de comportamiento financiero y apoyar la evaluación de proyectos.
• Presentar un enfoque que integra indicadores dinámicos, análisis estratégico y técnicas de Machine Learning para convertir información presupuestaria en evidencia para la toma de decisiones.
• Demostrar cómo el análisis basado en datos puede fortalecer el monitoreo, la priorización y la toma de decisiones estratégicas en la gestión de inversiones públicas.
</t>
  </si>
  <si>
    <t xml:space="preserve">La presentación abordará cómo los datos históricos de programación y ejecución presupuestaria pueden transformarse en información estratégica para evaluar proyectos de inversión pública. A partir del análisis de 585 proyectos, se mostrará la construcción de indicadores dinámicos para identificar patrones y evaluar el comportamiento de la ejecución a lo largo del tiempo, integrando técnicas de inteligencia artificial y Machine Learning. Mediante una presentación visual se expondrán la metodología aplicada, los principales resultados y su utilidad como soporte para la evaluación y priorización de inversiones. Al finalizar la sesión, los participantes estarán aptos para comprender cómo convertir datos presupuestarios en información estratégica para fortalecer la toma de decisiones en proyectos de inversión pública.
</t>
  </si>
  <si>
    <t>Presidente de PMI Costa Rica, IPMA; dos presentaciones en eventos PMI.</t>
  </si>
  <si>
    <t>+57 316 2578891</t>
  </si>
  <si>
    <t xml:space="preserve">La innovación consiste en pasar de una evaluación presupuestaria basada principalmente en indicadores estáticos a un análisis del comportamiento financiero de los proyectos a través del tiempo. El enfoque integra series históricas de ejecución, indicadores dinámicos, análisis estratégico y técnicas de Machine Learning para identificar patrones y generar información que apoye la evaluación y priorización de proyectos. De esta manera, la inteligencia artificial se plantea como una herramienta de soporte a la decisión y no como sustituto del criterio técnico, permitiendo aprovechar datos públicos existentes para obtener una lectura más estratégica del desempeño de las inversiones.
</t>
  </si>
  <si>
    <t>Ninguno</t>
  </si>
  <si>
    <t>https://drive.google.com/open?id=1WISGbTRKEwikqoxJzuwMTejrMrsxPrIK</t>
  </si>
  <si>
    <t>kdalia.quispe@gmail.com</t>
  </si>
  <si>
    <t>KATHERINE DALIA QUISPE RAMOS</t>
  </si>
  <si>
    <t>-</t>
  </si>
  <si>
    <t>+51992339094</t>
  </si>
  <si>
    <t>Katherine Dalia Quispe Ramos es Bachiller en Ingeniería Civil por la Pontificia Universidad Católica del Perú (PUCP), con experiencia vinculada a la gestión de proyectos en obra, oficina técnica y entorno corporativo. Ha participado en actividades de planificación, seguimiento y control, coordinación con equipos multidisciplinarios y gestión de información técnica y de gestión, brindando soporte al seguimiento del desempeño y a la toma de decisiones a nivel gerencial.
Su formación se complementa con experiencia en investigación y participación destacada en concursos académicos de Ingeniería Civil a nivel nacional e internacional. En 2023 participó como expositora en el Segundo Workshop de Investigación en Ingeniería Civil de la PUCP, donde presentó una investigación de pregrado en el ámbito de la gestión de la construcción. Ese mismo año participó en la Feria STEM PUCP con el proyecto “Viga de Alta Resistencia”, desarrollado en equipo para el XXX Congreso Nacional de Estudiantes de Ingeniería Civil (CONEIC Lima 2023), realizado en la Universidad Nacional de Ingeniería (UNI). Asimismo, fue Vicepresidenta del Capítulo Estudiantil American Concrete Institute (ACI) PUCP en 2023, gestión durante la cual el capítulo fue reconocido con el Outstanding Student Chapter Award 2023 de ACI International. Posteriormente, como miembro honorario, participó en actividades de orientación y difusión dirigidas a nuevos integrantes del capítulo.</t>
  </si>
  <si>
    <t>www.linkedin.com/in/katherine-dalia-quispe-ramos-b63697225</t>
  </si>
  <si>
    <t xml:space="preserve">Gustavo Conejo Madrigal
CCO de Dolphins Consulting Group
Ingeniero en Sistema de Información. Maestría en Administración de Tecnologías de Información.
Tiene más de 28 años de experiencia laboral, de los cuáles tiene más de 14 años de experiencia en el ámbito de desarrollo y dirección de proyectos. Posee más 6 años de experiencia en docencia universitaria, consultoría y asesoría en proyectos. Tiene más de 7 años de experiencia en gestión de continuidad del negocio, gestión de las TI, Innovación y metodologías ágiles.
En su experiencia laboral ha ocupado los puestos de Director de Proyectos, Director de Programas, Jefe de PMO, Consultor, Director de Continuidad de Negocios, Jefe de TI, CCO.
Cuenta con certificaciones en ITIL, Cobit, Lean Six Sigma Yellow Belt, Scrum Fundamentos, Scrum Master Professional, Business Intelligence,  Director de Proyectos del International Organization for Project Management, Presidente de PMI Costa Rica Chapter, miembro activo de la comunidad internacional de PMOs denominada PMO Global Alliance, CBCP del DRII (Continuidad de Negocio y Resiliencia). Transformación Digital, Dirección Estratégica de ADEN, Inteligencia Artificial, Ciberseguridad, Innovación.
</t>
  </si>
  <si>
    <t>Business Acumen en la Gestión de Proyectos: de gestionar proyectos a generar valor estratégico</t>
  </si>
  <si>
    <t>Proyecto como inversión ligada a la estrategia: del cumplimiento de alcance a la generación de valor.</t>
  </si>
  <si>
    <t>Carolina Herrera Solera</t>
  </si>
  <si>
    <r>
      <rPr>
        <color rgb="FF1155CC"/>
        <u/>
      </rPr>
      <t>ilmunoz@icesi.edu.co</t>
    </r>
  </si>
  <si>
    <t>+57 3108253194</t>
  </si>
  <si>
    <t>Proceso CAPM</t>
  </si>
  <si>
    <t>https://drive.google.com/open?id=1DmNxS-KTc-0s3niBvN7Ukp5R8LeiAJyR</t>
  </si>
  <si>
    <r>
      <rPr>
        <color rgb="FF1155CC"/>
        <u/>
      </rPr>
      <t>cherrerasolera@gmail.com</t>
    </r>
  </si>
  <si>
    <t>Título: Propuesta de integración BIM y Last Planner System, y su implementación durante la construcción de la estructura de un colegio en Lima Metropolitana
Presentación: Exposición de investigación de pregrado en el Segundo Workshop de Investigación en Ingeniería Civil
Organización: Facultad de Ciencias e Ingeniería – Pontificia Universidad Católica del Perú (PUCP)
Año: 2023</t>
  </si>
  <si>
    <t>PMP, presidenta de PMI Caribe; oratoria académica, sin congreso PMI.</t>
  </si>
  <si>
    <t>Experiencia como expositora en espacios académicos y técnicos vinculados a la Ingeniería Civil. En 2023 participó en el Segundo Workshop de Investigación en Ingeniería Civil de la PUCP, exponiendo una investigación de pregrado en el ámbito de la gestión de la construcción, y en la Feria STEM PUCP con el proyecto “Viga de Alta Resistencia”, desarrollado en equipo para el XXX Congreso Nacional de Estudiantes de Ingeniería Civil (CONEIC Lima 2023). Como Vicepresidenta del Capítulo Estudiantil American Concrete Institute (ACI) PUCP, participó además en actividades de representación y presentación del capítulo en eventos universitarios. En 2025, como miembro honorario, participó en una charla dirigida a nuevos integrantes de ACI PUCP. Estas experiencias comprenden la presentación de investigaciones, proyectos y contenidos técnicos ante públicos académicos y estudiantiles.</t>
  </si>
  <si>
    <r>
      <rPr>
        <rFont val="Liberation Serif"/>
        <color rgb="FF1155CC"/>
        <u/>
      </rPr>
      <t>https://www.linkedin.com/in/ingrid-lucia-munoz/</t>
    </r>
  </si>
  <si>
    <t>Carolina Herrera Solera es ingeniera industrial, magíster en Industria 4.0, candidata a doctora en Dirección de Proyectos, certificada PMP® y PMO Practitioner. Se desempeña como docente investigadora de la Universidad del Sinú, seccional Cartagena, y presidenta del Capítulo PMI Caribe. Su trayectoria integra la docencia, la investigación y la gestión de proyectos en innovación, transformación digital, inteligencia artificial y sostenibilidad.
En 2026 ha participado como expositora en distintos escenarios académicos y de innovación. Fue speaker en Sustainability Day Colombia; panelista y tallerista en la V Semana Internacional de la Ingeniería y Ciencias Básicas de Areandina; y conferencista en Riohacha y Santa Marta con la charla “Liderando y gestionando proyectos de IA”, en encuentros organizados por MinTIC y Canal Trece. En 2024 y 2025 participó como ponente en la Semana Científica Internacional de la Universidad del Sinú. Su trabajo conecta la dirección de proyectos con los desafíos de la transformación digital y el desarrollo sostenible.</t>
  </si>
  <si>
    <t>Del plan a la obra: Innovación digital para impulsar una gestión de proyectos de alto desempeño</t>
  </si>
  <si>
    <t>De la IA al valor: decisiones, pilotos y escalamiento responsable en proyectos</t>
  </si>
  <si>
    <t>Casos NASA y Network Rail; M.O.R.E. con modelo CIMA y escala TRL.</t>
  </si>
  <si>
    <t>C · B · M</t>
  </si>
  <si>
    <t>• Presentar un enfoque de integración digital que articule Building Information Modeling (BIM) y Last Planner System, bajo un marco de dirección de proyectos.
• Mostrar cómo un entorno digital colaborativo puede integrar información y procesos para fortalecer la planificación y el control de proyectos de construcción.
• Analizar el potencial de la propuesta para fortalecer la trazabilidad, la gestión del desempeño y el soporte a la toma de decisiones.</t>
  </si>
  <si>
    <t>Nathalie Fuentes Altez</t>
  </si>
  <si>
    <t xml:space="preserve">En la presente sesión se abordará un marco de dirección de proyectos que articula Building Information Modeling (BIM) y Last Planner System para fortalecer la planificación y el control en proyectos de construcción. Mediante PPT y recursos multimedia, se explicará el enfoque y se mostrará su aplicación a través de una interfaz digital, destacando su aporte a la trazabilidad, el desempeño y la toma de decisiones. Al finalizar, los participantes estarán aptos para comprender el marco propuesto, su aplicación práctica y el valor de conectar BIM y LPS para una gestión de proyectos de alto desempeño.
</t>
  </si>
  <si>
    <t xml:space="preserve">La innovación radica en articular Building Information Modeling (BIM) y Last Planner System bajo un marco de dirección de proyectos y trasladar este enfoque a una interfaz digital. La propuesta busca conectar información y procesos de gestión que suelen abordarse de manera independiente, favoreciendo una visión más integrada y trazable del desempeño como soporte para la toma de decisiones.
</t>
  </si>
  <si>
    <t>La participación se realizará de manera remota desde Perú. Se solicita amablemente coordinar una prueba de conexión previa a la sesión para verificar el audio, la pantalla compartida y la correcta visualización del contenido, a fin de asegurar el adecuado desarrollo de la exposición.</t>
  </si>
  <si>
    <t>+56 9 34399553</t>
  </si>
  <si>
    <t>https://drive.google.com/open?id=1Jire2TMMsWSbwT2cbJS7tkJIXuNVz9ba</t>
  </si>
  <si>
    <r>
      <rPr>
        <color rgb="FF1155CC"/>
        <u/>
      </rPr>
      <t>nathalie.f.altez@gmail.com</t>
    </r>
  </si>
  <si>
    <t>Cinco presentaciones PMI Santiago 2025–2026; sin certificación PMI.</t>
  </si>
  <si>
    <t>enriqueapa@gmail.com</t>
  </si>
  <si>
    <t>Nathalie Fuentes Altez es Ingeniera en Telecomunicaciones y Máster en Dirección de Negocios, con especialidades en Dirección de Proyectos, Desarrollo Directivo, e Inteligencia Emocional y Coaching para el Liderazgo en las Organizaciones.
Cuenta con más de 17 años de experiencia en la industria de telecomunicaciones y tecnología. Actualmente se desempeña como Service Delivery Manager de Networking en Falabella Tecnología. Durante casi 14 años en Entel desarrolló una sólida trayectoria en gestión. Lideró la Oficina de Gestión de Proyectos (PMO) y la jefatura de Gestión de Performance, desde donde definió métricas, KPIs y modelos operativos para la toma de decisiones estratégicas. Antes, como jefa de proyectos en la Subgerencia de Desarrollo de Productos, dirigió equipos multidisciplinarios en la creación de productos tecnológicos alineados con las demandas del mercado. Desde 2024 es Vicepresidenta de Programas Especiales del PMI Santiago Chile Chapter, donde lidera la organización del XIX Congreso Internacional de Gestión de Proyectos &amp; PMO Day 2026.
En paralelo a su carrera en la industria, fue profesora de tecnología en la Escuela de Informática y Telecomunicaciones de Duoc UC por más de 14 años. Es creadora del Método Huellas, un programa de mentorías enfocado en el desarrollo del autoconocimiento y el liderazgo humano. Integra la conciencia y el propósito para fortalecer las habilidades profesionales.
Su trabajo de estudio y divulgación se centra en el liderazgo humano en la gestión de proyectos, la neurociencia aplicada a la gestión del cambio y la sostenibilidad con impacto social en los proyectos. Comparte estas reflexiones en “Huellas”, su columna en LinkedIn.
En los últimos años se ha consolidado como speaker en el ecosistema de gestión de proyectos de Latinoamérica. Su sello es conectar la dirección de proyectos con la neurociencia aplicada al conocimiento y a la conducta humana, para transformar la manera en que líderes y equipos desarrollan sus habilidades interpersonales. En el PMO Day Chile 2025 presentó “PMO consciente: Neurociencia para gestionar el cambio y las personas” y lideró un ciclo de webinars precongreso sobre la temática. En el Congreso Virtual PMI Chile 2026 abordó el nuevo enfoque del PMBOK® con “El proyecto termina. El impacto permanece: Sostenibilidad e Impacto Social en la nueva era del PMBOK®”. Su mirada ha trascendido fronteras: IEEE Women in Engineering Paraguay la convocó como mentora invitada para inspirar a nuevas generaciones de mujeres en ciencia, ingeniería y tecnología con “Ser mujer es tu Power Skill”.
Su liderazgo ha sido reconocido por la comunidad profesional con su elección como Vicepresidenta de Programas Especiales del PMI Santiago Chile Chapter. Desde ese rol impulsa iniciativas inéditas para el capítulo, como la integración del Congreso Internacional de Gestión de Proyectos y el PMO Day 2026 en un solo gran encuentro.
Entre sus distinciones recientes destacan su elección como Vicepresidenta de Programas Especiales del PMI Santiago Chile Chapter</t>
  </si>
  <si>
    <t xml:space="preserve">Enrique Aparicio </t>
  </si>
  <si>
    <t>PMO Consciente 2.0: Neurociencia, power skills y el efecto flywheel en la transformación organizacional</t>
  </si>
  <si>
    <t>Banco FIE / Subgerente Nacional de Proyectos y Calidad TI</t>
  </si>
  <si>
    <t>PMO que integra gobernanza, neurociencia del cambio y power skills como flywheel.</t>
  </si>
  <si>
    <t>Álvaro Gabriel Giraldo Nisttahusz</t>
  </si>
  <si>
    <r>
      <rPr>
        <color rgb="FF1155CC"/>
        <u/>
      </rPr>
      <t>mdelsouc@leadconsultora.com</t>
    </r>
  </si>
  <si>
    <t>https://www.linkedin.com/in/pmptraining</t>
  </si>
  <si>
    <r>
      <rPr>
        <color rgb="FF1155CC"/>
        <u/>
      </rPr>
      <t>gabrielgiraldon@gmail.com</t>
    </r>
  </si>
  <si>
    <r>
      <rPr>
        <rFont val="Liberation Serif"/>
        <color rgb="FF1155CC"/>
        <u/>
      </rPr>
      <t>www.linkedin.com/in/monica-delsouc-63130149</t>
    </r>
  </si>
  <si>
    <t>Sin referencias; solo charlas universitarias cortas.</t>
  </si>
  <si>
    <t>PMP®, Dassm</t>
  </si>
  <si>
    <t>Evolución de la PMO hacia la gestión de valor según su ubicación, mandato e influencia.</t>
  </si>
  <si>
    <t>https://drive.google.com/open?id=1hXdNweeaewlAg1sN2jASF7ekRQm7WsBu</t>
  </si>
  <si>
    <r>
      <rPr>
        <color rgb="FF1155CC"/>
        <u/>
      </rPr>
      <t>jgmendez@gmail.com</t>
    </r>
  </si>
  <si>
    <t>Declara no tener registro de presentaciones.</t>
  </si>
  <si>
    <t>Integra gobernanza, riesgo PMI y seguridad de procesos (HAZOP, Bow-Tie) en Oil &amp; Gas.</t>
  </si>
  <si>
    <t>A · E · CE</t>
  </si>
  <si>
    <t xml:space="preserve">Presentación 1
 * Título: Liderazgo de PMO y Entrega de Valor: Nuevas Fronteras en Gestión Estratégica
 * Organización: PMI Santiago Chile Chapter (PMO Day Chile 2025)
 * Año: 2025
 * Persona de referencia: Nathalie Fuentes Altez – Vicepresidenta de Programas Especiales, PMI Santiago Chile Chapter
 * Contacto: Correo: nathaliefuentes@pmi.cl | Teléfono: +56 9 34399553
Presentación 2
 * Título: Taller Práctico de Gestión y Planificación Avanzada de Proyectos (Microsoft Project &amp; PMBOK)
 * Organización: Minera San Cristóbal S.A.
 * Año: 2025
 * Persona de referencia: Rilke Campero – Supervisor de Capacitación
 * Contacto: Teléfono: (591) 73299436 / (591-2) 215-3777 (Ext. 3208)
Presentación 3
 * Título: Conferencia Magistral: «De la Estrategia a la Meta: Proyectos sin Estancamiento y Gestión de la Triple Restricción»
 * Organización: GymLab – Agile &amp; Project Management Hub
 * Año: 2025
 * Persona de referencia: Marisol Díaz – Coordinación Comercial y de Capacitación
 * Contacto: Correo: marisol@i-quattro.com | Teléfono: (591) 67005756 / (591) 71947016
Presentación 4
 * Título: Implementación de Modelos de Gobernanza y Value Creation System en PMO de TI
 * Organización: Banco FIE
 * Año: 2026
 * Persona de referencia: Roberto Delgadillo
 * Contacto: Correo: [roberto.delgadillo@bancofie.com.bo] | </t>
  </si>
  <si>
    <t>Katherine Dalia Quispe Ramos</t>
  </si>
  <si>
    <t xml:space="preserve">En los últimos cinco años he consolidado una activa trayectoria como conferencista y facilitador corporativo a nivel nacional e internacional, destacando mi participación como expositor magistral en el PMO Day Chile 2025 (organizado por el PMI Santiago Chile Chapter), además de liderar ponencias especializadas, talleres in-company y programas de capacitación ejecutiva para organizaciones de sectores de alta exigencia como minería, banca y consumo masivo (entre ellas Minera San Cristóbal y Banco FIE). Mi enfoque combina una sólida base metodológica predictiva, ágil e híbrida (PMBOK®, Scrum, PMO Value Ring) con dinámicas de aprendizaje práctico, gamificación y herramientas aplicadas de gobernanza estratégica y entrega de valor, orientadas a transformar la gestión de proyectos en resultados tangibles de negocio.
</t>
  </si>
  <si>
    <r>
      <rPr>
        <color rgb="FF1155CC"/>
        <u/>
      </rPr>
      <t>yaravi@BoD-Advisors.com</t>
    </r>
  </si>
  <si>
    <t>​¿De dónde saldrá el próximo Project Manager senior? Rediseñando la carrera y el criterio experto frente a la IA agéntica.</t>
  </si>
  <si>
    <t>Exponer la falla estructural del modelo tradicional de carrera en gestión de proyectos, evidenciando cómo la IA agéntica rompe el aprendizaje por absorción al automatizar el tramo intermedio de formación.  
​Presentar una propuesta de autoría propia: el Modelo de Tres Franjas y Tres Rutas de Carrera (Input, Operatividad e Integración), superando la dicotomía simplista junior-senior para redefinir el desarrollo profesional y la maestría técnica.  
​Brindar herramientas de diseño organizacional para líderes de PMO y equipos, orientadas a estructurar la operatividad como puente intencional para formar el juicio senior y blindar la continuidad del talento.</t>
  </si>
  <si>
    <t xml:space="preserve">Hoy la inteligencia artificial esta realizando los reportes y tareas rutinarias que hacian y formaban antes a los PMs junior, por lo tanto es valido preguntarnos, ¿de dónde saldrán los futuros líderes gestores de proyectos con experiencia real? En esta charla presento un modelo de mi autoría que reemplaza la vieja idea de "junior vs. senior" por tres caminos claros: Alimentar el sistema, Operar el equipo y Liderar la estrategia. Usaré diapositivas visuales muy directas, ejemplos sencillos del día a día y preguntas en vivo con la audiencia. Cuando esta sesión finalice, los participantes estarán aptos para diseñar planes claros para entrenar a su personal y asegurar que su empresa no se quede sin líderes expertos frente al avance de la IA.
</t>
  </si>
  <si>
    <r>
      <rPr>
        <color rgb="FF1155CC"/>
        <u/>
      </rPr>
      <t>kdalia.quispe@gmail.com</t>
    </r>
  </si>
  <si>
    <t xml:space="preserve">Presento un marco metodológico inédito de autoría propia: el Modelo de Tres Franjas y Tres Rutas de Desarrollo (Input, Operatividad e Integración). La innovación radica en romper con la jerarquía tradicional "junior vs. senior" —la cual colapsa con la llegada de la IA agéntica— y reemplazarla por una arquitectura de roles que define con precisión qué tareas alimentan a los agentes de IA, cómo se usa la dinámica de equipo como escuela práctica y cómo habilitar rutas de maestría técnica especializada sin obligar a todos a convertirse en gerentes. Se complementa con una matriz de diseño organizacional para estructurar estos puentes de talento dentro de PMOs y áreas de proyectos.  </t>
  </si>
  <si>
    <t>Permisos de anfitrión/co-anfitrión activo: Para compartir pantalla con audio del sistema y habilitar encuestas/sondeos en vivo (vía Mentimeter/Slido o la herramienta de votación nativa de la plataforma).
​Soporte de moderador: Apoyo del equipo de logística de PMI Bolivia para recopilar y filtrar las preguntas del chat durante la sesión, reservando los últimos 10-15 minutos para la interacción con la audiencia.
​Prueba técnica previa: Coordinación de una prueba de conexión, audio, video y paso de diapositivas al menos 24 a 48 horas antes del evento</t>
  </si>
  <si>
    <t>https://drive.google.com/open?id=1Pp7mcVw510c7rsm_hiQgwutBbHEQdA1C</t>
  </si>
  <si>
    <t>Bachiller con exposiciones estudiantiles; CAPM en proceso.</t>
  </si>
  <si>
    <r>
      <rPr>
        <rFont val="Liberation Serif"/>
        <color rgb="FF1155CC"/>
        <u/>
      </rPr>
      <t>www.linkedin.com/in/yaravi-cardoze</t>
    </r>
  </si>
  <si>
    <t>Marco que articula BIM y Last Planner System con interfaz digital para construcción.</t>
  </si>
  <si>
    <t>A · E · M</t>
  </si>
  <si>
    <t>Shirley Andrea Barben</t>
  </si>
  <si>
    <t>+1 3852377816</t>
  </si>
  <si>
    <r>
      <rPr>
        <color rgb="FF1155CC"/>
        <u/>
      </rPr>
      <t>shirley.barben@trufru.com</t>
    </r>
  </si>
  <si>
    <t>arielrizzi@gmail.com</t>
  </si>
  <si>
    <t>Ariel Rizzi y Emilse Kasem</t>
  </si>
  <si>
    <t>Chief Vision Officer Consultora Agil ARG</t>
  </si>
  <si>
    <t xml:space="preserve">www.consultoraAgilARG.com </t>
  </si>
  <si>
    <t>Oratoria interna y en Toastmasters; sin eventos externos.</t>
  </si>
  <si>
    <t>Biografía del Expositor
Shirley Andrea Barben es Ingeniera Comercial y Project Management Professional (PMP) con más de 10 años de experiencia liderando proyectos de innovación, desarrollo de productos, comercialización y transformación organizacional en empresas multinacionales, organismos gubernamentales y organizaciones internacionales. Actualmente se desempeña como Project Manager, Product Development en Trü Frü, una compañía de Mars, Incorporated, (Estados Unidos) donde lidera iniciativas estratégicas de desarrollo de nuevos productos, empaques, innovación y lanzamientos al mercado, coordinando equipos multifuncionales a nivel nacional e internacional. 
A lo largo de su carrera, ha gestionado proyectos complejos utilizando diversas metodologías de dirección de proyectos, incluyendo Waterfall, Agile, Scrum, metodologías híbridas y Stage-Gate, adaptando cada enfoque a las necesidades específicas del negocio, el nivel de innovación y los objetivos de cada iniciativa. Cuenta con experiencia en la implementación y optimización de herramientas de gestión de proyectos y colaboración digital como Monday.com, Microsoft Project, Asana, Smartsheet y otras plataformas de gestión del trabajo, impulsando la visibilidad, alineación y eficiencia de los equipos.
Posee las certificaciones Project Management Professional (PMP) otorgada por el Project Management Institute (PMI), Certified ScrumMaster (CSM) de Scrum Alliance y es miembro activo del PMI, respaldando su compromiso con la excelencia profesional y la mejora continua.
Su experiencia incluye la gestión de proyectos de innovación, transformación digital, mejora de procesos y desarrollo de productos dentro de entornos altamente dinámicos, colaborando con áreas de Operaciones, Supply Chain, Regulatory Affairs, Marketing, Investigación y Desarrollo, Calidad y Tecnología. Es reconocida por su capacidad de liderazgo, influencia sin autoridad formal y habilidad para transformar estrategias de negocio en resultados tangibles.
Apasionada por la innovación, la gestión estratégica de proyectos y la adopción de nuevas tecnologías, Shirley promueve el uso de prácticas modernas de gestión, automatización y herramientas digitales para fortalecer la colaboración, acelerar la toma de decisiones y generar valor sostenible para las organizaciones.</t>
  </si>
  <si>
    <t>Más Allá del Triple Constraint: Cómo Medir el Valor Real de los Proyectos con el Marco M.O.R.E.® y Net Project Success Score (NPSS)</t>
  </si>
  <si>
    <t>Medir valor y beneficios más allá de alcance, tiempo y costo con M.O.R.E.</t>
  </si>
  <si>
    <r>
      <rPr>
        <color rgb="FF1155CC"/>
        <u/>
      </rPr>
      <t>shogun.shimose@gmail.com</t>
    </r>
  </si>
  <si>
    <t>Pedro Luis Valda Vega</t>
  </si>
  <si>
    <t>+591 76847773</t>
  </si>
  <si>
    <r>
      <rPr>
        <color rgb="FF1155CC"/>
        <u/>
      </rPr>
      <t>pluisvaldavega@gmail.com</t>
    </r>
  </si>
  <si>
    <r>
      <rPr>
        <rFont val="Liberation Serif"/>
        <color rgb="FF1155CC"/>
        <u/>
      </rPr>
      <t>https://www.linkedin.com/in/shogun-shimose/</t>
    </r>
  </si>
  <si>
    <t>ariel.rizzi@consultoraAgilarg.com</t>
  </si>
  <si>
    <t>Primera participación como expositor; sin certificación.</t>
  </si>
  <si>
    <t>Especialización PMI (RMP, SP, PBA),  Coach ICF - Coach Certificado Scrum Alliance - Lean Six Sigma</t>
  </si>
  <si>
    <t>https://drive.google.com/open?id=1c-MtgYIxET4_uAELo0gtZft-lNWn0ePd</t>
  </si>
  <si>
    <t xml:space="preserve">Ingeniero de Proyectos, con formación de posgrado en Dirección y Gestión de Proyectos por la Universidad Católica Boliviana San Pablo y experiencia profesional en gestión de proyectos y administración pública. Cuento con formación complementaria en Lean Six Sigma y metodologías ágiles vinculadas a la dirección de proyectos.
Actualmente desarrollo investigación aplicada en el ámbito de las Oficinas de Dirección de Proyectos (PMO), enfocada en el diseño de una propuesta de PMO bajo la metodología Value Ring™ Framework, orientada a fortalecer la administración, gobernanza, estandarización y generación de valor en las organizaciones.
En el ámbito profesional, ha desempeñado funciones de coordinación y liderazgo de equipos multidisciplinarios, sistemas de gestión documental, control de proyectos, seguimiento de procesos y mejora continua, participando en iniciativas de transformación y optimización organizacional. Asimismo, cuenta con experiencia vinculada al sector de la construcción y al desarrollo de proyectos público/privado.
Mi interés profesional se centra en la dirección de proyectos, PMO, gobernanza, liderazgo, mejora de procesos e innovación aplicada a la gestión. He participado en espacios académicos y profesionales relacionados con dirección de proyectos y formación especializada, además de desarrollar actividades de investigación y divulgación en esta disciplina.
</t>
  </si>
  <si>
    <t>La PMO que mueve los proyectos: de controlar a generar valor</t>
  </si>
  <si>
    <t>PMO orientada a resultados con gobernanza, principios ágiles y enfoque Flywheel.</t>
  </si>
  <si>
    <t>totales</t>
  </si>
  <si>
    <t>Universidad USAL Programa de Liderazgo y Comunicacion 2024
PMI Buenos Aires Congreso 2024
PMI Social Santigo del Estero - Impacto Social 2025
PMI Social CAMARCO - Camara Argentina de la Construcción 2025
Congreso Internacion IIBA España 2025
PMI Bolivia Congreso 2025
Universidad Regional Gran Rosario 2025 
PMI El Salvador Lean Construction 2025
PMI Andes Pacifico 2025
Congreso Anual IIBA Global 2025
Conferencia de presidentes de IIBA Hispanoparlantes 2026
IIBA IA + Sostenibilidad Empresarial 2026
Universidad Peru UPC 2026
PMI Madrid Sostenibilidad Global 2026 (Octubre)</t>
  </si>
  <si>
    <t xml:space="preserve">ARIZZI &amp; EKASEM: hemos hablado sobre analisis de negocios, direccion de proyectos sostenibilidad, agiildad y lean para que nuestros oyentes se lleven una chispa de curiosidad y aprendizaje con el proposito ante audiencias de &gt;150 personas presencial y virtualmente. 
</t>
  </si>
  <si>
    <t xml:space="preserve">De la  Legacy PMO a la SMART-IA PMO </t>
  </si>
  <si>
    <r>
      <rPr>
        <color rgb="FF1155CC"/>
        <u/>
      </rPr>
      <t>stalin.rivas@gmail.com</t>
    </r>
  </si>
  <si>
    <t>Presentar comparaciones de la PMO tradicional vs los modelos nuevos de IA para que los proyectos puedan ser realizados de forma mas eficiente y autonoma bajo validacion humana, pero con una mayor eficiencia y entrega de valor.</t>
  </si>
  <si>
    <t>Revisaremos brevemente los modelos mas usados de PMO (y sus falencias al dia de hoy)
Intoduccion breve sobre los modelos de IA predictiva- prescriptiva- generativa 
Hablaremos sobre los sesgos de la IA y su impacto en la gestion del los proyectos bajo metodologia PMI (como evitarlos)
Realizaremos cosas de uso en vivo automatizando procesos y areas de conocimiento del PMBOK aplicadas a proyectos multi industria</t>
  </si>
  <si>
    <t>La audiencia podra ver automatizaciones en vivo para diferentes areaas de conocimiento y automatizacion de tareas para poder revisar lecciones aprendidas, riesgos y gestion del cambio. Todo apoyado con Agentes y sub agentes de IA.</t>
  </si>
  <si>
    <t>Solo un moderador que nos vaya acompanando con la gestion del tiempo y las preguntas.</t>
  </si>
  <si>
    <t>https://drive.google.com/open?id=1TzHSdLAPFuZd8tzdckGKTqNG5a27prf2</t>
  </si>
  <si>
    <r>
      <rPr>
        <rFont val="Liberation Serif"/>
        <color rgb="FF1155CC"/>
        <u/>
      </rPr>
      <t>www.linkedin.com/in/stalinrivas</t>
    </r>
  </si>
  <si>
    <r>
      <rPr>
        <color rgb="FF1155CC"/>
        <u/>
      </rPr>
      <t>rene.neira.marin@gmail.com</t>
    </r>
  </si>
  <si>
    <t>erodas@gestumtotal.com</t>
  </si>
  <si>
    <t>GESTUM TOTAL - Director</t>
  </si>
  <si>
    <t xml:space="preserve">www.gestumtotal.com </t>
  </si>
  <si>
    <r>
      <rPr>
        <rFont val="Liberation Serif"/>
        <color rgb="FF1155CC"/>
        <u/>
      </rPr>
      <t>www.linkedin.com/in/rene-neira-mba-pmp/</t>
    </r>
  </si>
  <si>
    <t>https://www.linkedin.com/in/eddi-rodas/</t>
  </si>
  <si>
    <r>
      <rPr>
        <color rgb="FF1155CC"/>
        <u/>
      </rPr>
      <t xml:space="preserve">Carlos.Schellenberg@evolutionconsultora.com
</t>
    </r>
    <r>
      <rPr>
        <color rgb="FF1F1F1F"/>
      </rPr>
      <t>jspunta@gmail.com</t>
    </r>
  </si>
  <si>
    <t>PMP®, PM4R Expert, PM4R Trainer, PM4R Professional, etc</t>
  </si>
  <si>
    <t>https://drive.google.com/open?id=1faMuZHHNGoo2ctCWImbe19MXG-imMwSR</t>
  </si>
  <si>
    <t>Banco Interamericano de Desarrollo – Sede Washington	Métodos cuantitativos de monitoreo y control de proyectos (03 presentaciones)	Diciembre 2007
Banco Interamericano de Desarrollo – Sede Washington	Programa de Gestión de Integrada de Proyectos (05 presentaciones)	Agosto Diciembre 2008
Banco Interamericano de Desarrollo – Sede República Dominicana	Aplicación de la metodología PM4R en Gestión de Proyectos de Desarrollo	Abril
2012
Banco Interamericano de Desarrollo – Sede Nicaragua- Managua	Gestión de Proyectos y Portfolios de la Cartera de Nicaragua	Agosto 2013
Banco Interamericano de Desarrollo – Sede Honduras	Seguimiento y Control de Proyectos de Desarrollo	Julio
2014
Banco Interamericano de Desarrollo – Sede 
El Salvador	Gestión Avanzada de Riesgos de Proyectos	Setiembre 2015
Banco Interamericano de Desarrollo – Sede Guatemala	Gestión Avanzada de Riesgos de Proyectos	Agosto 2016
Banco Interamericano de Desarrollo – Sede Panamá	Gestión de Proyectos de Desarrollo en Unidades Ejecutoras	Abril
2017
Banco Interamericano de Desarrollo – Sede Ecuador - Quito	Monitoreo de Cartera de Proyectos y Portafolios de Proyectos de Desarrollo	Setiembre 2018
Banco Interamericano de Desarrollo – Sede Colombia - Bogotá	La Técnica del Valor Ganado en Proyectos de Desarrollo	Noviembre 2011
Banco Interamericano de Desarrollo – Sede Argentina – Buenos Aires	Metodología PM4R en Proyectos de Cartera	Abril
2017
Banco Interamericano de Desarrollo – Sede Washington	Certificación en Gestión de Proyectos de Desarrollo	Enero 2020
PMI Lima Perú Chapter	Impacto de la Metodología PM4R en Proyectos de Desarrollo	Abril
2020
PMI Lima Perú Chapter	Aplicación del Enfoque Ágil en Proyectos de Desarrollo	Abril
2020
PMI Lima Perú Chapter Congreso Internacional de Dirección de Proyectos 2022	Agilidad Estratégica en Proyectos de Desarrollo	Diciembre 2022
PMI Lima Perú Chapter – PM Certifica PMO DAY 2023	Impacto de una PMO Pública	Mayo
2023
PMI Lima Perú Chapter Congreso Internacional de Dirección de Proyectos 2023	Cómo Transformar una Organización en una PMO Ágil de Alto Valor	Diciembre 2023
Cámara de Comercio de Lima (CCL)	Cómo Transformar tu Negocio en una PMO y Hacerlo Altamente Rentable	Mayo
2024
PMI Lima Perú Chapter Congreso Internacional de Dirección de Proyectos 2024	Cómo Implementar una PMO de Alto Impacto Social	Noviembre 2024
PM Certifica PMO DAY 2025	PMO +IA: El Poder de los Agentes Inteligentes en Gestión de Proyectos	Junio
2025</t>
  </si>
  <si>
    <t>He sido expositor de los congresos internacionales del PMI Lima Perú 2022, 2023, 2024 y 2025, PMI Latam 2026, PMO Day 2025, PMO Day 2026, Jurado Premio PMO Global Award PMI 2025, y expositor de Eventos Internacionales del BID desde el 2008.</t>
  </si>
  <si>
    <t xml:space="preserve">	Comprender qué es una PMO Inteligente y cómo se diferencia de la PMO tradicional.
	Tomar conciencia sobre cómo los agentes de IA están cambiando el rol del Director del Proyecto y el impacto que tendrá en el futuro para las PMOs y los profesionales que trabajan en proyectos.
	Conocer un modelo práctico para evolucionar de una PMO tradicional a una PMO Inteligente.
</t>
  </si>
  <si>
    <t xml:space="preserve">Descubre cómo la inteligencia artificial se ha convertido en una fuerza transformadora que está revolucionando las PMO en el mundo. Aprende a integrar agentes IA para automatizar todo tipo de proceso, gestionar riesgos y tomar mejores decisiones. Cuando la sesión finalice los participantes serán capaces de comprender qué es una PMO Inteligente y cómo se diferencia de la PMO tradicional. Tomarán conciencia sobre cómo los agentes de IA están cambiando el rol del Director del Proyecto y el impacto que tendrá en el futuro de la profesión. Conocerán un modelo práctico para evolucionar sus organizaciones progresivamente hacia una PMO inteligente.
</t>
  </si>
  <si>
    <t>La mayoría de las presentaciones sobre inteligencia artificial aplicada a proyectos se enfocan en herramientas, automatización de tareas o productividad individual. Esta propuesta presenta una visión más amplia y estratégica: cómo evolucionar hacia una PMO Inteligente, donde la inteligencia artificial se integra a un modelo de gestión orientado a resultados y de generación de valor.</t>
  </si>
  <si>
    <t>https://drive.google.com/open?id=12QAoYFpAceW4MGqBGoEyFIeycHdwfhbe</t>
  </si>
  <si>
    <r>
      <rPr>
        <rFont val="Liberation Serif"/>
        <color rgb="FF1155CC"/>
        <u/>
      </rPr>
      <t>https://www.linkedin.com/in/carlos-schellenberg</t>
    </r>
  </si>
  <si>
    <t>tony@tpglobalbusinessconsulting.com</t>
  </si>
  <si>
    <t>CEO/Fundador</t>
  </si>
  <si>
    <t>TP Global Business Consulting LLC</t>
  </si>
  <si>
    <t>drtonyprensa@gmail.com</t>
  </si>
  <si>
    <t>www.linkedin.com/in/drtonyprensa</t>
  </si>
  <si>
    <t>+51 947678580</t>
  </si>
  <si>
    <t>PMP®, PMOCP</t>
  </si>
  <si>
    <t>https://drive.google.com/open?id=1QhlblMKzRHUrm_Wm1At_vkGuaywOstP0</t>
  </si>
  <si>
    <r>
      <rPr>
        <color rgb="FF1155CC"/>
        <u/>
      </rPr>
      <t>carlos.briceno@pminorteperu.org</t>
    </r>
  </si>
  <si>
    <t>Título de la presentación	Organización / Evento	Año	Persona de referencia y contacto
Artificial Intelligence — cofacilitador del taller	IEOM Society International — 7.ª Conferencia Latinoamericana de Ingeniería Industrial y Gestión de Operaciones, Ciudad de Panamá, Panamá. Programa oficial.	2026	Dr. Ahad Ali, CEO de IEOM Society International y miembro de la presidencia del congreso. Correo: ahad@ieomsociety.org.
Empowering Leadership Through Emotional Intelligence	IEOM Society International — 10.ª Conferencia Norteamericana de Ingeniería Industrial y Gestión de Operaciones, University of Central Florida, Orlando, Estados Unidos. Programa oficial.	2025	Dr. Ahad Ali, miembro de la presidencia del congreso. Correo: ahad@ieomsociety.org.
Leading with Emotional Intelligence — sesión del taller Toyota Kata and Emotional Intelligence	IEOM Society International — 7.ª Conferencia Europea de Ingeniería Industrial y Gestión de Operaciones, Augsburgo, Alemania. Programa oficial.	2024	Dr. Jürgen H. Lenz, presidente del congreso, Technical University of Applied Sciences Augsburg. Correo: Juergen.Lenz@tha.de.</t>
  </si>
  <si>
    <t>Durante los últimos cinco años he participado como conferencista y facilitador de talleres en congresos del Project Management Institute (PMI), conferencias de IEOM Society y encuentros académicos y profesionales en América Latina, Estados Unidos y Europa. Mis presentaciones han abordado la evolución de las PMO, el liderazgo, la inteligencia emocional, la transformación digital y la inteligencia artificial aplicada a la gestión, incorporando recientemente mis modelos de PMO Value Architecture y Enterprise Value Architecture. He desarrollado sesiones presenciales y virtuales, en español e inglés, para ejecutivos, líderes de proyectos, profesionales de PMO, docentes y estudiantes. Mi enfoque combina más de cuatro décadas de experiencia profesional con análisis de casos, preguntas de pensamiento crítico y ejercicios participativos, para que los asistentes puedan conectar los conceptos con sus desafíos organizacionales y traducir el aprendizaje en mejores decisiones y acciones concretas.</t>
  </si>
  <si>
    <r>
      <rPr>
        <rFont val="Liberation Serif"/>
        <color rgb="FF1155CC"/>
        <u/>
      </rPr>
      <t>https://www.linkedin.com/in/carlos-daniel-briceno-burgos/</t>
    </r>
  </si>
  <si>
    <t>1.Distinguir entre entregables, resultados y valor empresarial, para evaluar cómo contribuye la PMO a las prioridades estratégicas de la organización.
2.Aplicar los siete movimientos de PMOVA al análisis de un caso práctico, identificando una oportunidad de valor, una intervención de la PMO y las decisiones y capacidades necesarias para llevarla adelante.
3. Formular una recomendación ejecutiva y un esquema inicial de aplicación de 90 días, con resultados esperados, responsables, indicadores y fuentes de evidencia que permitan evaluar la contribución de la PMO.</t>
  </si>
  <si>
    <t>Al finalizar la sesión, los participantes estarán aptos para:
Distinguir entregables, resultados y valor empresarial.
Aplicar los siete movimientos de PMOVA al análisis de un caso práctico.
Formular una recomendación ejecutiva y un esquema de 90 días con responsables e indicadores.
Metodología: PPT visual, caso práctico y participación del público.
Conclusión: la contribución de la PMO debe sustentarse en evidencia de valor.</t>
  </si>
  <si>
    <t>PMOVA propone integrar el diseño de servicios de la PMO, la toma de decisiones y la evidencia de valor en una arquitectura de siete movimientos: Detectar, Definir, Diseñar, Amplificar, Evidenciar, Integrar y Defender. Su aporte diferencial consiste en plantear cada intervención como una hipótesis de contribución al negocio, con resultados esperados, responsables e indicadores que permitan comprobarla. Mediante un caso práctico, se mostrará cómo convertir esa hipótesis en una recomendación ejecutiva y un esquema de 90 días para decidir, con evidencia, qué conviene continuar, ajustar o detener.</t>
  </si>
  <si>
    <t>https://drive.google.com/open?id=1x6kMYoeI4saaj9Iox6JcXuKnNQF7IIza</t>
  </si>
  <si>
    <t>sant_armas@yahoo.es</t>
  </si>
  <si>
    <t>SLB / Lider de Planificacion de Facilidades de Superficie</t>
  </si>
  <si>
    <t>SLB es una empresa global de tecnología y servicios energéticos, líder en soluciones para la exploración, perforación, construcción y producción de pozos. Opera en más de 100 países y desarrolla tecnologías que integran ingeniería, innovación y transformación digital para mejorar el desempeño y la eficiencia de la industria energética.
https://www.slb.com/
Shaya es un proyecto de SLB en el Bloque 61 – Campo Auca, Ecuador, orientado a incrementar la producción y optimizar la recuperación de hidrocarburos mediante la integración de tecnología, ingeniería, perforación, producción y soluciones digitales.
El proyecto destaca por su enfoque de gestión integrada del activo y optimización operacional.
https://www.slb.com/resource-library/case-study-with-navigation/al/reda-continuum-shaya-ecuador-cs</t>
  </si>
  <si>
    <t>https://www.linkedin.com/in/santiagoarmas/</t>
  </si>
  <si>
    <t>PMP®, PMO-CP / PM4R</t>
  </si>
  <si>
    <t>https://drive.google.com/open?id=1YC7I3_ibQAPG3Iosc-oaEJoiVrIzdKhw</t>
  </si>
  <si>
    <t>+1 (210) 417-8816</t>
  </si>
  <si>
    <r>
      <rPr>
        <color rgb="FF1155CC"/>
        <u/>
      </rPr>
      <t>irinacelly@hotmail.com</t>
    </r>
  </si>
  <si>
    <t>Del papel al modelo vivo: BIM &amp; Digital Twin en la construcción de facilidades de Oil &amp; Gas / PMI Peru Norte – Trujillo 2025
Del papel al modelo vivo: BIM &amp; Digital Twin en la construcción de facilidades de Oil &amp; Gas / PMI Sur Norte – Cusco 2025
Impacto del Liderazgo Colaborativo en la Productividad y la Calidad en la Industria de la Construcción	Comunidad de Construcción – PMI LATAM 2025
Aplicación de BIM, Modelos Digitales y Buenas Prácticas de PM en la Construcción de Facilidades Petroleras	/ Mega Seminario Innovación Sin Límites – PMI Andes Pacífico, Cuenca 2025
Aplicación de las Buenas Prácticas y la Digitalización en Facilidades Petroleras – Caso CPF Culebra 21 / XII Congreso Internacional de Proyectos – PMI Andes Pacífico 2024
Acercamiento al Project Management en la Industria de la Construcción	Comunidad de Construcción – PMI Andes Pacífico 2024</t>
  </si>
  <si>
    <t>Durante los últimos cinco años, he desarrollado una trayectoria activa como expositor en eventos nacionales e internacionales, compartiendo experiencias y buenas prácticas en dirección de proyectos, gestión de la construcción, liderazgo colaborativo, BIM, Digital Twin y digitalización de facilidades de Oil &amp; Gas. Ha participado como conferencista en comunidades y congresos del PMI en Ecuador, Perú y LATAM, abordando casos prácticos y lecciones aprendidas de proyectos de infraestructura y energía.</t>
  </si>
  <si>
    <t>A) Presentar el caso de éxito de la construcción de la CPF Culebra 21 y su enfoque de gestión de proyectos.
B) Demostrar cómo BIM 4D, Digital Twin y Project Controls contribuyeron a mejorar la planificación, seguimiento y toma de decisiones.
C) Compartir las principales buenas prácticas y lecciones aprendidas aplicables a proyectos de construcción de Oil &amp; Gas.</t>
  </si>
  <si>
    <t>La presentación abordará el caso de éxito de la construcción de la CPF Culebra 21, mostrando cómo la integración de BIM 4D, Digital Twin y Project Controls permitió fortalecer la planificación, el seguimiento y la toma de decisiones durante la ejecución del proyecto. A través de ejemplos prácticos, recursos multimedia e indicadores de desempeño, se analizarán las principales estrategias, buenas prácticas y lecciones aprendidas. 
Al finalizar la sesión, los participantes estarán aptos para identificar oportunidades de aplicación de estas herramientas y buenas prácticas en proyectos de construcción complejos, particularmente en el sector Oil &amp; Gas.</t>
  </si>
  <si>
    <t>La innovación se centra en la integración de BIM 4D, Digital Twin y Project Controls como un enfoque colaborativo para conectar el modelo digital con la planificación, ejecución y seguimiento de la construcción. La metodología permite visualizar el avance, anticipar riesgos, analizar el desempeño mediante indicadores y facilitar la toma de decisiones basada en información integrada, aplicada al caso real de la CPF Culebra 21.</t>
  </si>
  <si>
    <t>https://drive.google.com/open?id=1-qx-5291F5InQ5FVTaMLJ-5TCC6cM7Uo</t>
  </si>
  <si>
    <t>shirley.barben@trufru.com</t>
  </si>
  <si>
    <t>SHIRLEY ANDREA BARBEN</t>
  </si>
  <si>
    <t>Profesional de Gestión de Proyectos en Desarrollo de Productos</t>
  </si>
  <si>
    <t>Trü Frü, una compañía de Mars, Incorporated, es una marca líder en snacks premium de fruta congelada y cubierta de chocolate, reconocida por su enfoque en la innovación, la calidad y la transformación de la experiencia del consumidor. La empresa desarrolla productos que combinan fruta real con procesos de innovación continua para crear propuestas diferenciadas dentro de la industria de alimentos congelados.
Como parte de Mars, una de las compañías de bienes de consumo más grandes y reconocidas a nivel mundial, Trü Frü opera dentro de un entorno dinámico enfocado en la excelencia operativa, la colaboración global y la transformación digital. Mi rol como Project Manager me permite liderar iniciativas multifuncionales de desarrollo de productos, empaque e innovación, coordinando equipos de distintas áreas para llevar proyectos desde la ideación hasta su lanzamiento al mercado.
Sitio web: https://trufru.com
 Perfil corporativo: https://www.mars.com</t>
  </si>
  <si>
    <t>https://www.linkedin.com/in/shirley-andrea-barben-pmp/</t>
  </si>
  <si>
    <r>
      <rPr>
        <rFont val="Liberation Serif"/>
        <color rgb="FF1155CC"/>
        <u/>
      </rPr>
      <t>https://www.linkedin.com/in/irinacelly?utm_source=share_via&amp;utm_content=profile&amp;utm_medium=member_ios</t>
    </r>
  </si>
  <si>
    <t>PMP®, Especialización PMI (RMP, SP, PBA), Certified ScrumMaster (CSM)- PMI Essentials M.O.R.E. Maximizing Project Success</t>
  </si>
  <si>
    <t>https://drive.google.com/open?id=1aODkgkTT-zKmPX4O0Uj7cFg1IgkrhuPD</t>
  </si>
  <si>
    <t>Irina Valdez es una ejecutiva de transformación y líder regional de PMI, reconocida por su capacidad para conectar estrategia, ejecución y desarrollo de talento para generar resultados sostenibles.
Con experiencia en PMO, gestión de portafolios, transformación organizacional y educación, ha liderado iniciativas que fortalecen capacidades organizacionales, aceleran la adopción del cambio y desarrollan ecosistemas de aprendizaje con impacto en diversos sectores y contextos multiculturales.
Actualmente contribuye al desarrollo de la profesión y de las nuevas generaciones de líderes a través de iniciativas regionales de educación e impacto social en Latinoamérica, promoviendo la conexión entre negocio, innovación y gestión estratégica.</t>
  </si>
  <si>
    <t>1. Optimización del Proceso de Desarrollo y Aprobación de Artes de Empaque
 Organización: Trü Frü (Mars Incorporated)
 Año: 2026
 Descripción: Presentación y capacitación sobre la implementación de mejoras en el proceso de desarrollo, revisión y aprobación de artes de empaque, incluyendo alineación interfuncional, gobernanza de proyectos y seguimiento de cumplimiento.
 Persona de Referencia: Bryan Braunns, Director, Project Management Office (PMO) H&amp;W TruFru NA
 E-mail: bryan.braunns@trufru.com
2. Inteligencia Artificial Aplicada a la Gestión de Proyectos: Herramientas para Potenciar la Productividad y la Colaboración
 Organización: Toastmasters International
 Año: 2025
 Descripción: Presentación sobre el uso de inteligencia artificial para mejorar la planificación, gestión de recursos, automatización de tareas y toma de decisiones en proyectos.
 Persona de Referencia: Kathryn Cunningham, President, Toastmasters Club
 E-mail: kathryn.cunningham@usana.com
3. Resource Capacity Management: Priorización Estratégica y Asignación Eficiente de Recursos
 Organización: Mars Incorporated
 Año: 2026
 Descripción: Capacitación orientada a la planificación de capacidad, gestión de recursos compartidos y priorización de portafolios para mejorar la ejecución de proyectos y la toma de decisiones.
 Persona de Referencia: Thomas Rigal, Chief of Staff
 E-mail: thomas.rigal@effem.com
4. Onboarding para Equipos Multifuncionales: Herramientas, Procesos y Mejores Prácticas de Gestión de Proyectos
 Organización: USANA, Trü Frü (Mars Incorporated)
 Año: 2025-2026
 Descripción: Sesiones de capacitación para nuevos colaboradores sobre metodologías de gestión de proyectos, procesos de desarrollo de productos y uso de plataformas colaborativas como Monday.com. 
Persona de Referencia: Bryan Braunns, Director, PMO H&amp;W TruFru NA
 E-mail: bryan.braunns@trufru.com
5. Transformación Digital en la Gestión de Proyectos: Implementación de Monday.com para Equipos Multifuncionales
 Organización: Trü Frü (Mars Incorporated)
 Año: 2026
 Descripción: Presentaciones y talleres enfocados en la adopción de Monday.com para mejorar visibilidad, gobernanza, seguimiento de hitos, gestión de riesgos y colaboración entre áreas. Persona de Referencia: Bryan Braunns, Director, PMO H&amp;W TruFru NA
 E-mail: bryan.braunns@trufru.com
6. Liderazgo, Comunicación e Influencia sin Autoridad en la Gestión de Proyectos
 Organización: Toastmasters International
 Año: 2024-2025
 Descripción: Serie de presentaciones enfocadas en liderazgo, comunicación efectiva, gestión de stakeholders e influencia en entornos matriciales y multifuncionales. Persona de Referencia: Kathryn Cunningham, President, Toastmasters Club
 E-mail: kathryn.cunningham@usana.com</t>
  </si>
  <si>
    <t>Durante los últimos cinco años he participado activamente como expositora, facilitadora y capacitadora en temas relacionados con gestión de proyectos, liderazgo, transformación digital, mejora de procesos y desarrollo de productos. Como graduada del programa de Public Speaking de Toastmasters International, he fortalecido mis habilidades de comunicación, liderazgo e influencia, realizando presentaciones para audiencias diversas en entornos profesionales y de desarrollo personal. Además, en mi rol como Project Manager he impartido capacitaciones de onboarding, talleres de mejora continua, adopción de herramientas digitales, gestión de recursos, implementación de procesos y mejores prácticas de dirección de proyectos para equipos multifuncionales. Mi experiencia como expositora combina conocimientos técnicos con ejemplos prácticos del mundo empresarial, permitiéndome conectar con la audiencia y compartir herramientas aplicables que generan valor e impacto en las organizaciones. Actualmente, como Project Manager, Product Development en Trü Fru (Mars, Incorporated), continúo liderando sesiones de capacitación y presentaciones estratégicas para impulsar la colaboración, la innovación y la excelencia operativa en equipos globales.</t>
  </si>
  <si>
    <t xml:space="preserve">Objetivos de la Presentación
Al finalizar esta sesión, los participantes podrán:
-Comprender los principios fundamentales del marco M.O.R.E.® (Most Valuable Outcome, Realized Efficiently).
-Identificar las diferencias entre medir el éxito por cumplimiento de alcance, tiempo y costo versus medir el valor generado por un proyecto.
-Conocer los resultados y conclusiones del estudio global de PMI 2025-2026 sobre entrega de valor en proyectos.
-Aplicar el concepto de Net Project Success Score (NPSS) para evaluar el impacto y éxito real de sus proyectos.
-Implementar herramientas prácticas para incorporar métricas de valor en la gestión de proyectos dentro de sus organizaciones.
-Aprender de un caso práctico real sobre la implementación del marco M.O.R.E.® en un portafolio de proyectos, incluyendo la estructura, métricas y herramientas utilizadas para automatizar la medición de valor y calcular el Net Project Success Score (NPSS).. </t>
  </si>
  <si>
    <t>Durante años, el éxito de los proyectos se ha medido principalmente por cumplir alcance, tiempo y presupuesto. Sin embargo, ¿qué sucede cuando un proyecto cumple esos tres elementos pero no genera valor para el negocio?
En esta sesión exploraremos el marco M.O.R.E.® de PMI, una metodología innovadora enfocada en maximizar los resultados y beneficios obtenidos por los proyectos. Compartiré los hallazgos del estudio global PMI 2025-2026 sobre entrega de valor y cómo estoy implementando este enfoque en proyectos reales de desarrollo de productos e innovación.
La presentación combinará exposición ejecutiva, ejemplos prácticos, análisis de métricas, participación de la audiencia y un caso de aplicación real utilizando el Net Project Success Score (NPSS) como indicador de éxito.
Cuando esta sesión finalice, los participantes estarán aptos para medir el éxito de sus proyectos desde una perspectiva de generación de valor, incorporar indicadores de impacto en sus iniciativas y construir una cultura orientada a resultados estratégicos.</t>
  </si>
  <si>
    <t>Esta presentación introduce una visión moderna de la dirección de proyectos basada en la generación de valor, utilizando el marco M.O.R.E.®, uno de los enfoques más recientes impulsados por PMI para evolucionar la definición tradicional de éxito.
Además de presentar conceptos teóricos, se mostrará una aplicación práctica del Net Project Success Score (NPSS) implementada en proyectos reales de desarrollo de productos e innovación. Los asistentes conocerán cómo combinar métricas tradicionales con indicadores de valor, satisfacción de stakeholders y resultados de negocio para tomar mejores decisiones y demostrar el verdadero impacto de sus proyectos.
La sesión incluirá herramientas prácticas, ejemplos reales y recomendaciones para comenzar a implementar este enfoque inmediatamente en cualquier industria.</t>
  </si>
  <si>
    <t>ninguna</t>
  </si>
  <si>
    <t>https://drive.google.com/open?id=1cVVcRRpJ5rdwh5hW6QInTh38UYcoQQ29ZQ2wEnIGXzU</t>
  </si>
  <si>
    <t>administracion@pcertificate.com</t>
  </si>
  <si>
    <t>JOSE REYES ASTO</t>
  </si>
  <si>
    <t>CERTIFICATE PROJECT CONTROL</t>
  </si>
  <si>
    <t>https://pcertificate.com/</t>
  </si>
  <si>
    <t>912 825 885</t>
  </si>
  <si>
    <t>https://es.linkedin.com/posts/jos%C3%A9-miguel-reyes-15a38a62_casi-4-a%C3%B1os-desde-que-se-cre%C3%B3-certificate-activity-7235088263013675008-08Pi</t>
  </si>
  <si>
    <t>PMP®, PMI-ACP®, PgMP® / PfMP®, Especialización PMI (RMP, SP, PBA)</t>
  </si>
  <si>
    <t>https://drive.google.com/open?id=1j6tMpDmESD5b4aw6f3izxCV2L1WrE_oF</t>
  </si>
  <si>
    <t xml:space="preserve">Ponencia: Project control Expo International Noviembre 2021 - Automatizacion de Procesos en Project Control con Power APPs (Contacto: support@projectcontrolacademy.com Shohreh Ghorbani )
Ponencia: Congreso Internacional AACE Perú 2022 - Overview de la Certificacione AACE - PSP, CCP Y EVP, Noviembre 2022 Karla Culquichicon +51 957 288 098
Ponencia: Conferencia mensual AACE Perú 2023  - Análisis Forense de Cronogramas, aplicación práctica TIA y CPA  mARZO 2023 Karla Culquichicon +51 957 288 098
Ponencia: Congreso PMI Norte Piura - Perú Buenas prácticas en Construcción - Overview de las certificaciones PMI - PMP - PMI CP (Noviembre 2025) Lizeth Roxana Rodríguez Neyra +51 947 967 403
Ponencia Congreso Internacional PMI República Dominicana 2024 - Octubre 2024 - Niveles de Liderazgo en la Dirección de Proyectos - Gledyc Castillo +1 (809) 760-3185 </t>
  </si>
  <si>
    <t>Cuento con experiencia como consultor y conferencista internacional en gestión de proyectos, planeamiento, programación, análisis forense de cronogramas, estimación de pérdidas de productividad y control de proyectos. He participado como conferencista en prestigiosos congresos internacionales del PMI y AACE en Latinoamérica, compartiendo conocimientos y experiencias sobre gestión de proyectos, planificación, control de costos, gestión de riesgos y análisis forense de cronogramas. Mi experiencia profesional en proyectos de construcción, minería e infraestructura me permite desarrollar exposiciones con un enfoque práctico y orientado a la aplicación de buenas prácticas y herramientas de gestión de proyectos.</t>
  </si>
  <si>
    <t>El principal desafío es la gestión integrada del tiempo, costo y flujo de los proyectos de construcción, debido a la fragmentación de la información, la falta de coordinación entre las diferentes especialidades, las desviaciones de plazo y presupuesto, y la limitada capacidad para anticipar riesgos y tomar decisiones oportunas. La ponencia abordará la oportunidad de integrar BIM 4D/5D, Lean Construction e Inteligencia Artificial como herramientas para mejorar la planificación, optimizar los recursos, identificar restricciones y riesgos de manera anticipada, y fortalecer el control y la toma de decisiones durante todo el ciclo de vida del proyecto.</t>
  </si>
  <si>
    <t>La sesión abordará la integración de BIM 4D/5D, Lean Construction e Inteligencia Artificial para optimizar la gestión del tiempo, costo y flujo en proyectos de construcción.
• Se presentarán conceptos y casos prácticos mediante una combinación de PPT, demostraciones y recursos multimedia.
• Los participantes analizarán un caso de proyecto con desviaciones de plazo, costo y productividad.
• Se desarrollará una actividad interactiva para identificar restricciones, anticipar riesgos y plantear acciones de mejora.
• Al finalizar, los participantes estarán aptos para integrar estas herramientas en la planificación, control y toma de decisiones de sus propios proyectos, generando una gestión más predictiva, eficiente y orientada a resultados.</t>
  </si>
  <si>
    <t>La propuesta presenta un enfoque integrado que combina BIM 4D/5D, Lean Construction e Inteligencia Artificial para transformar la gestión tradicional de proyectos de construcción. La innovación radica en conectar la planificación de tiempo y costo con el análisis del flujo de producción y datos, utilizando IA para anticipar desviaciones, identificar riesgos y apoyar la toma de decisiones. Mediante un caso práctico se demostrará cómo estas tecnologías pueden trabajar de manera articulada para lograr una gestión más predictiva, colaborativa y eficiente.</t>
  </si>
  <si>
    <t>Se requiere proyector o pantalla de alta resolución, conexión estable a Internet y equipo de cómputo para la presentación y demostración de herramientas digitales. Se utilizarán presentaciones, ejemplos de modelos BIM 4D/5D, cronogramas, dashboards y casos prácticos de aplicación de Lean Construction e Inteligencia Artificial. No se requieren equipos o materiales especiales por parte de los participantes, aunque se recomienda contar con laptop para facilitar las actividades prácticas e interactivas.</t>
  </si>
  <si>
    <t>https://drive.google.com/open?id=1y8L0bmgzDfwCy4DT43-Iz4yKpz1QsvwL</t>
  </si>
  <si>
    <t>scandelo@gmail.com</t>
  </si>
  <si>
    <t>Snoop Consulting / Socio y COO</t>
  </si>
  <si>
    <t xml:space="preserve">www.snoopconsulting.com  </t>
  </si>
  <si>
    <t>https://www.linkedin.com/in/sergio-candelo/</t>
  </si>
  <si>
    <t xml:space="preserve">Master en Economia. Postgrado en Direccion de empresas. </t>
  </si>
  <si>
    <t>https://drive.google.com/open?id=1HRgG6nnIxsXBEpSHHWFr8go38KKX_a0n</t>
  </si>
  <si>
    <t>Presentaciones previas / Referencias (últimos 5 años)*
(Listado individual para copiar y pegar según los campos requeridos)
1.
Título: El futuro del trabajo es la gestión de proyectos: Prepárate para liderar el cambio  
Organización: Project Management Institute (PMI) – Capítulo Buenos Aires (PMI Tour 2024)  
Año: 2024 (Presencial, Hotel NH Buenos Aires City)  
Persona de referencia: Carolina Rondolini (Presidente PMI BA) / E-mail: info@pmi.org.ar / ventas.tour2024@pmi.org.ar / Teléfono: +54 9 11 5455-9933  
2.
Título: Mesa de debate de AI en Proyectos: El Rol de la Inteligencia Artificial en la Revolución del Project Management (Rol: Moderador de mesa técnica)  
Organización: Project Management Institute (PMI) – Capítulo Buenos Aires (PMI Tour 2024)  
Año: 2024 (Presencial, Hotel NH Buenos Aires City)  
Persona de referencia: Carolina Rondolini (Presidente PMI BA) / E-mail: info@pmi.org.ar / Teléfono: +54 9 11 5455-9933  
3.
Título: Liderazgo, Inteligencia Artificial y Transformación en Proyectos de TI  
Organización: Project Management Institute (PMI) – Capítulo Buenos Aires (PMI Tour 2025)  
Año: 2025 (Virtual / Streaming Regional)  
Persona de referencia: Marcelo Collia (Dirección Institucional PMI BA) / E-mail: marcelo.collia@pmi.org.ar / Teléfono: +54 9 11 5455-9933  
4.
Título: La industria del software como motor de desarrollo y matriz urbana sustentable  
Organización: Smart City Expo Santiago del Estero (Fira Barcelona / Gobierno de Santiago del Estero / Catese)  
Año: 2023 (Presencial, Sala Plenaria Nodo Tecnológico)  
Persona de referencia: Comité Ejecutivo Cámara de Tecnología de Santiago del Estero (Catese) / E-mail: info@catese.ar / Teléfono: +54 385 422-5500
5.
Título: Conferencia Inaugural: Convergencia de la Inteligencia Artificial, el IoT y el factor humano en la economía del conocimiento  
Organización: Universidad Abierta Interamericana (UAI) – XXI Congreso Internacional de Innovación Tecnológica Informática (CIITI 2023)  
Año: 2023 (Presencial, Aula Magna UAI Buenos Aires)  
Persona de referencia: Dr. Marcelo De Vincenzi (Decano Fac. Tecnología Informática UAI) / E-mail: ciiti@uai.edu.ar / tecnologia.informatica@uai.edu.ar / Teléfono: +54 11 4301-5323
6.
Título: Estrategia predictiva empresarial y transformación del empleo tecnológico (Panelista magistral)  
Organización: Business Summit Rafaela 2024 (Centro Comercial e Industrial de Rafaela / Municipalidad de Rafaela)  
Año: 2024 (Presencial, Rafaela, Santa Fe)  
Persona de referencia: Comité Ejecutivo CCIRR / E-mail: info@ccirr.org.ar / Teléfono: +54 3492 43-2241
7.
Título: Discurso Inaugural: El software como industria de impacto federal y talento exportable  
Organización: Cámara de la Industria Argentina del Software (CESSI) – 18° Edición Premios Sadosky  
Año: 2022 (Presencial / Híbrido, Puerto Madero, CABA)
Persona de referencia: Pablo Fiuza (Presidente CESSI) / E-mail: info@cessi.org.ar / comunicacion@cessi.org.ar / Teléfono: +54 9 11 5217-7802  
8.
Título: Apertura Institucional: Retos del talento IT, formación técnica continua y marco fiscal  
Organización: Cámara de la Industria Argentina del Software (CESSI) – 17° Edición Premios Sadosky  
Año: 2021 (Virtual / Transmisión Nacional)
Persona de referencia: Secretaría Institucional CESSI / E-mail: info@cessi.org.ar / Teléfono: +54 9 11 5217-7802  
9.
Título: Apertura de Gestión: Resiliencia de la industria informática nacional ante la emergencia global
Organización: Cámara de la Industria Argentina del Software (CESSI) – 16° Edición Premios Sadosky
Año: 2020 (Virtual / Transmisión Nacional)
Persona de referencia: Dirección Institucional CESSI / E-mail: administracion@cessi.org.ar / Teléfono: +54 9 11 3691-6022  
10.
Título: Discurso Inaugural y Balance de Gestión en la IT Night  
Organización: Cámara de la Industria Argentina del Software (CESSI) – 15° Edición Premios Sadosky  
Año: 2019 / Diciembre (Presencial, CABA)  
Persona de referencia: Comité Directivo CESSI / E-mail: info@cessi.org.ar / Teléfono: +54 9 11 5217-7802  
11.
Título: Discurso de Distinción Especial: Cultura de Calidad y Madurez en Organizaciones Tecnológicas (Empresario del Año en Medianas y Grandes Empresas)  
Organización: Cámara de la Industria Argentina del Software (CESSI) – 21° Edición Premios Sadosky  
Año: 2024 / 2025 (Presencial, CABA)  
Persona de referencia: Comisión Directiva CESSI / E-mail: presidencia@cessi.org.ar / info@cessi.org.ar / Teléfono: +54 9 11 5217-7802  
12.
Título: Plenario Estratégico: Plan Argentina Software 2030 y Creación de 400.000 Nuevos Puestos de Trabajo  
Organización: CESSI Argentina – Encuentro Empresarial de la Industria del Software 2022  
Año: 2022 (Presencial, Pilar, Pcia. de Buenos Aires)  
Persona de referencia: Comisión Directiva CESSI / E-mail: socios@cessi.org.ar / info@cessi.org.ar / Teléfono: +54 9 11 5217-7802  
13.
Título: El futuro del talento y la inversión sectorial: Competitividad regional de la industria IT  
Organización: CESSI Argentina – 16° Encuentro Empresarial de la Industria del Software  
Año: 2023 (Presencial, Ciudad de Mendoza)  
Persona de referencia: Dirección Ejecutiva CESSI / E-mail: info@cessi.org.ar / Teléfono: +54 9 11 5217-7802  
14.
Título: Emprendedurismo tecnológico y consolidación operativa en Argentina y Chile  
Organización: Universidad de Palermo (UP) – Centro de Emprendedores de la Facultad de Ingeniería  
Año: 2021 (Virtual / Masterclass Académica)  
Persona de referencia: Facultad de Ingeniería UP / E-mail: ingenieria@palermo.edu / Teléfono: +54 11 4964-4620  
15.
Título: Panel Académico: De Referidos a Demanda IT – Claves de Crecimiento y Generación de Negocios  
Organización: Facultad de Ingeniería de la Universidad de Buenos Aires (FIUBA) / Marketic  
Año: 2024 (Presencial, Sede Las Heras FIUBA, CABA)
Persona de referencia: Área de Extensión FIUBA / E-mail: comunicacion@fi.uba.ar / contacto@marketic.com.ar
16.
Título: Inteligencia Artificial y Productividad Operativa: De la Expectativa al Modelo de Negocio Real  
Organización: Snoop Consulting – Ciclo de Desayunos Ejecutivos C-Level
Año: 2024 (Presencial, Buenos Aires)
Persona de referencia: Gustavo Guaragna (CEO Snoop Consulting) / E-mail: contacto@snoopconsulting.com / Teléfono: +54 11 4118-8000
17.
Título: Ronda de Vinculación y Aseguramiento de Calidad en Soluciones Tecnológicas Corporativas  
Organización: Misión Comercial Bilateral / Snoop Consulting Chile &amp; CESSI  
Año: 2023 (Presencial, Las Condes, Santiago de Chile)  
Persona de referencia: Patricio Caballero Sanz (Country Manager Snoop Chile) / E-mail: chile@snoopconsulting.com / Teléfono: +56 2 2938-1900  
18.
Título: Webinar Ejecutivo: Calidad de Software, Marcos CMMI y Mitigación de Riesgos en Proyectos Ágiles  
Organización: Snoop Consulting Latam – Ciclo de Transformación Digital
Año: 2022 (Virtual para corporaciones de Argentina y Chile)
Persona de referencia: Gerencia de Operaciones y Calidad Snoop / E-mail: operaciones@snoopconsulting.com / Teléfono: +54 11 4118-8000</t>
  </si>
  <si>
    <t>Con más de veinticinco años de liderazgo en la industria tecnológica y formación de posgrado en economía, en los últimos cinco años me he consolidado como conferencista magistral, panelista internacional y facilitador de debates estratégicos en Argentina y Chile. Mi labor como presidente de la Cámara de la Industria Argentina del Software (CESSI) y cofundador y COO de Snoop Consulting me ha permitido encabezar aperturas y plenarios en los principales foros gremiales e institucionales del sector (Premios Sadosky, Encuentros Empresariales CESSI), así como disertar en cumbres públicas y gubernamentales de envergadura (Smart City Expo Santiago del Estero, Business Summit Rafaela, Congreso CIITI de la UAI). Asimismo, mantengo un rol activo como orador y moderador en los ciclos anuales del Project Management Institute (PMI Tour Buenos Aires 2024 presencial y 2025 virtual) y en ciclos ejecutivos de calidad, metodologías ágiles e inteligencia artificial orientados a decisores C-Level. Mi dinámica como expositor combina rigor metodológico, visión macroeconómica y aplicación práctica en la gestión de proyectos y talento digital.</t>
  </si>
  <si>
    <t xml:space="preserve">Demostrar con datos propios el impacto real de la IA generativa en la gestión de proyectos, medido en horas semanales recuperadas por persona.
Explicar el concepto de rendición cognitiva como el riesgo emergente más silencioso de la adopción de IA, y presentar dos disciplinas concretas para contrarrestarlo.
Proveer una matriz práctica de cuatro perfiles de project manager (Operativo, Superficial, Tradicional, Super PM) que permita a cada participante autoevaluarse y diseñar su plan de desarrollo
</t>
  </si>
  <si>
    <t xml:space="preserve">La ponencia integra IA generativa aplicada a proyectos, neurociencia (Kahneman), sabiduría tolteca y PMBOK 8 para responder una sola pregunta: qué hacemos con el tiempo que la máquina nos devolvió. Se presentan datos reales de equipos en Latinoamérica, una matriz de autoevaluación de cuatro perfiles PM y dos disciplinas aplicables (gimnasio cognitivo y dieta digital). Formato: presentación visual con storytelling, metáforas visuales, interacción directa con el auditorio y espacio de preguntas. Cuando esta sesión finalice, los participantes estarán aptos para identificar cuánto de su semana es automatizable, reconocer señales de rendición cognitiva en sus equipos, y trazar un camino concreto del perfil PM que tienen hoy al Super PM que necesitan ser.
</t>
  </si>
  <si>
    <t xml:space="preserve">El concepto central es el Sistema 3 cognitivo: la IA generativa como extensión externa del pensamiento humano, que entrega la profundidad analítica del Sistema 2 de Kahneman a la velocidad del Sistema 1, sin costo metabólico. A partir de esta idea se propone una matriz original de cuatro perfiles PM que cruza apalancamiento tecnológico con presencia humana, y permite diagnosticar en qué cuadrante opera un profesional hoy. Se introduce además el concepto de rendición cognitiva como riesgo emergente específico de equipos que adoptan IA sin gobernanza del criterio, y se presentan dos protocolos prácticos (gimnasio cognitivo y dieta digital) para contrarrestarlo.
</t>
  </si>
  <si>
    <t>Solo una presentación</t>
  </si>
  <si>
    <t>https://drive.google.com/open?id=1p0s0pA1g73SvNM3OOjmccN2uEdA8BjDT</t>
  </si>
  <si>
    <t>pluisvaldavega@gmail.com</t>
  </si>
  <si>
    <t>Gobierno Autónomo Municipal de Santa Cruz de la Sierra/ Profesional A</t>
  </si>
  <si>
    <t>https://www.gmsantacruz.gob.bo/</t>
  </si>
  <si>
    <t>591- 76847773</t>
  </si>
  <si>
    <r>
      <rPr>
        <color rgb="FF1155CC"/>
        <u/>
      </rPr>
      <t>fabian@scrumnetwork.com</t>
    </r>
  </si>
  <si>
    <t>https://www.linkedin.com/in/ing-pedro-luis-valda-vega-9289b2189/</t>
  </si>
  <si>
    <t>Diplomado en Fundamentos de gestión de proyectos y Maestría en Dirección de Proyectos (Defensa de Tesis en Octubre-2026).</t>
  </si>
  <si>
    <t>https://drive.google.com/open?id=1J0HB2KgLaVPImYrnDynXg1LNbd-kthOu</t>
  </si>
  <si>
    <r>
      <rPr>
        <rFont val="Liberation Serif"/>
        <color rgb="FF1155CC"/>
        <u/>
      </rPr>
      <t>www.linkedin.com/in/fabianschwartz</t>
    </r>
  </si>
  <si>
    <t>Primera participación como expositor en un congreso internacional.
Hasta la fecha no he participado como expositor formal en congresos internacionales de dirección de proyectos. Esta convocatoria representa mi primera oportunidad de presentar públicamente una propuesta especializada en esta disciplina.
Como preparación para esta nueva etapa, recientemente completé un programa de Oratoria y Comunicación con Enrique Kay, CEO de ComunyKay – Expertos en Oratoria, fortaleciendo competencias de comunicación, expresión oral, manejo escénico, argumentación y presentación ante público.
Mi participación como speaker estaría sustentada en experiencia profesional, formación académica e investigación aplicada en PMO, Value Ring™ Framework y generación de valor en la dirección de proyectos.
Personas de referencia: Enrique Kay – CEO, ComunyKay – Expertos en Oratoria. Teléfono 77391153   Marco Arellano- Past President del capítulo  67701708 y Nelson Antelo Past VP de Comunicaciones 75678215</t>
  </si>
  <si>
    <t>Durante los últimos cinco años he desarrollado experiencia como expositor en diferentes espacios institucionales y académicos, participando en actividades de concienciación ambiental mediante programas de la Gobernación de Santa Cruz, así como en capacitaciones dirigidas a servidores públicos del Gobierno Autónomo Municipal de Santa Cruz de la Sierra. Asimismo, he participado como expositor en actividades de orientación de carreras profesionales en la Escuela Militar de Ingeniería (EMI) – Santa Cruz, desarrollando presentaciones dirigidas a estudiantes y público institucional. Estas experiencias me han permitido fortalecer competencias de comunicación, dominio escénico, estructuración de contenidos y adaptación del mensaje a diferentes tipos de audiencia.</t>
  </si>
  <si>
    <t>“La PMO que mueve los proyectos: de controlar a generar valor”</t>
  </si>
  <si>
    <t>A. Comprender qué es una PMO y cómo puede evolucionar de una función de control hacia un generador de valor para la organización.
B. Identificar cómo la gobernanza, la agilidad y la transformación organizacional pueden integrarse en el funcionamiento de una PMO.
C. Conocer el modelo Flywheel como enfoque para conectar servicios, personas, procesos y resultados, impulsando la generación sostenible de valor.
D. Reconocer cómo una PMO puede contribuir a que los proyectos pasen de ejecutar actividades a generar resultados alineados con los objetivos de la organización.</t>
  </si>
  <si>
    <t>Al finalizar la sesión, los participantes estarán aptos para:
Identificar las funciones clave de una PMO orientada a resultados.
Fortalecer la gobernanza y la toma de decisiones en proyectos.
Incorporar principios ágiles sin perder control ni dirección.
Aplicar el enfoque Flywheel para conectar personas, procesos y resultados.
Reconocer oportunidades de transformación e innovación en sus PMO.
Trasladar estos conceptos a acciones concretas y aplicables.</t>
  </si>
  <si>
    <t>La innovación se centra en cambiar el enfoque tradicional de la dirección de proyectos: no se trata únicamente de entregar proyectos cumpliendo alcance, tiempo y costo, sino de generar valor real para el cliente y la organización. Se presentará el marco metodológico PMO Value Ring™, junto con su herramienta tecnológica de priorización de servicios de PMO de PMO Global Alliance, que permite identificar y priorizar los servicios que una PMO debe ofrecer según las necesidades y objetivos de cada organización.</t>
  </si>
  <si>
    <t>Agradeceré contar con registro audiovisual y fotográfico oficial de la sesión, así como, de ser posible, con la constancia de participación como expositor. Asimismo, agradeceré la disponibilidad de unos minutos para una breve interacción con los participantes al cierre de la sesión.</t>
  </si>
  <si>
    <t>https://drive.google.com/open?id=1RtTKJzDUvvE5JG5eYemX8upLODD68ksN</t>
  </si>
  <si>
    <r>
      <rPr>
        <color rgb="FF1155CC"/>
        <u/>
      </rPr>
      <t>postgrado777@gmail.com</t>
    </r>
  </si>
  <si>
    <t>adominguez@beinn.es</t>
  </si>
  <si>
    <t>Directora de Beinn</t>
  </si>
  <si>
    <t>https://beinn.es 
BeiNN es una empresa española de desarrollo del liderazgo técnico y gestión de proyectos, fundada en 2011, que trabaja con organizaciones de ingeniería, industria, tecnología e innovación. Su foco es el profesional al que se promueve por su competencia técnica y que pasa a dirigir personas y a responder ante clientes sin haber sido preparado para ello. Sobre ese problema ha desarrollado una metodología propia de desarrollo profesional del líder de proyectos, construida a lo largo de quince años de trabajo con equipos técnicos y aplicada sobre los proyectos reales de cada organización. BeiNN recibió el premio a la mejor empresa tecnológica liderada por una mujer en 2016 y 2017.</t>
  </si>
  <si>
    <t>https://www.linkedin.com/in/anabeldominguezpardo/</t>
  </si>
  <si>
    <r>
      <rPr>
        <rFont val="Liberation Serif"/>
        <color rgb="FF1155CC"/>
        <u/>
      </rPr>
      <t>www.linkedin.com/in/ijmendozam</t>
    </r>
  </si>
  <si>
    <t>Iván J. Mendoza Moya es Director de PMO, con trayectoria en la dirección de portafolios estratégicos y de infraestructura en construcción civil, hidroeléctrica, manufactura, cemento, minería a cielo abierto y subterránea, y metalurgia. Su trabajo se enfoca en la gobernanza estratégica, la toma de decisiones bajo incertidumbre, la gestión del caos, la gestión de riesgos y la arquitectura empresarial.
Ingeniero de Sistemas y MBA, ejerce como profesor de pregrado y posgrado en la Universidad Católica Boliviana y como profesor invitado en universidades de Bolivia, Perú, México y España, desempeñándose habitualmente como tutor y guía de proyectos de grado y tesis.
Como expositor en foros del PMI, el TourLATAM y diversos congresos internacionales, aborda la integración entre gobernanza estratégica, metodologías de gestión de proyectos, analítica de datos e inteligencia conductual. Es coautor del libro Gestión de Proyectos Complejos en Ingeniería y autor de aportes científicos documentados en modelamiento sistémico, dinámica de sistemas y arquitecturas de decisión.</t>
  </si>
  <si>
    <t>https://drive.google.com/open?id=1A8KnEdI0Ay-ra6sUrK3q21QY5dN1jKnG</t>
  </si>
  <si>
    <r>
      <rPr>
        <color rgb="FF1155CC"/>
        <u/>
      </rPr>
      <t>gustavo.conejo@pmicr.org</t>
    </r>
  </si>
  <si>
    <t xml:space="preserve">-  Título: El coste invisible del líder técnico sin formación directiva
PMI Latam Congress
Pais: Perú
Año: 2026
-  Título: Liderazgo de Proyectos Turísticos
XX Congreso Anual de Directores de Proyectos — PMI Madrid
País: España
Año: 2023
-  Título: Power Skills para perfiles técnicos
Extremadura Digital Day — EDD25
País: España
Año: 2025
- AldeaLab — Taller “Cómo entrenar a tu agente de IA” / Google Gems
País: España
Año: 2026
Si necesitan más referencias de ponencias no duden en decírmelo.
</t>
  </si>
  <si>
    <t>Mi trayectoria como expositora combina dirección de proyectos, liderazgo de equipos técnicos, innovación, IA aplicada y gestión de stakeholders en entornos empresariales e institucionales. He participado como ponente en espacios vinculados a PMI, tecnología, turismo e innovación, aportando una visión práctica sobre cómo las power skills, la comunicación y la adaptación tecnológica impactan directamente en la ejecución y el éxito de los proyectos.
- XX Congreso Anual de Directores de Proyectos — PMI Madrid
País: España
Año: 2023
Audiencia / alcance: cerca de 200 profesionales.
URL directa: https://www.youtube.com/watch?v=81fgUgPA5Po
- Extremadura Digital Day — EDD25
País: España
Año: 2025
Audiencia / alcance: más de 500 asistentes en el evento.
URL directa: https://www.youtube.com/watch?v=6NpTUonbTR4
Ficha de ponente: https://extremaduradigitalday.com/ponente/anabel-dominguez/
- Masterclass “Habilidades y competencias para conseguir eficiencia en los proyectos” — COAATSG
País: España / online
Año: 2020
Audiencia / alcance: 90 personas
URL directa: https://www.coaatsg.es/wp-content/uploads/2020/03/MASTERCLASS-GESTION-EFICIENTE-PROYECTOS.pdf
AldeaLab — Taller “Cómo entrenar a tu agente de IA” / Google Gems
País: España
Año: 2026
Audiencia / alcance: más de 130 personas.
URL directa: https://www.aldealab.es/aldealab-cierra-con-exito-el-taller-como-entrenar-a-tu-agente-de-ia-con-mas-de-130-personas-inscritas/
- Tourism Innovation Summit — TIS Sevilla
País: España
Año: 2023
Audiencia / alcance: 350 personas
URL directa: https://www.juntaex.es/w/dg-turismo?inheritRedirect=true
- FITUR 2024. Mesa “Extremadura talento puro”. Proyectos turísticos.
País: España
Año: 2024
Audiencia / alcance: 84 personas.
URL directa: https://www.extremadura.com/videos/anabel-dominguez-directora-general-de-turismo-de-extremadura-en-fitur-2024
- Presentación del Branch de Extremadura y Castilla-La Mancha — PMI Madrid / BeiNN. País: España Año: 2015
Audiencia / alcance: 105 personas</t>
  </si>
  <si>
    <r>
      <rPr>
        <rFont val="Liberation Serif"/>
        <color rgb="FF1155CC"/>
        <u/>
      </rPr>
      <t>linkedin.com/in/gustavo-conejo-a57334124</t>
    </r>
  </si>
  <si>
    <t>De Project Manager técnico a Project Manager directivo.</t>
  </si>
  <si>
    <t>Al terminar la sesión, la audiencia será capaz de:
1. Diferenciar la función del Project Manager técnico de la del Project Manager
directivo en términos de decisiones observables, y no de responsabilidades
formales.
2. Autodiagnosticar en cuál de las cinco decisiones mantiene todavía la conducta
técnica.
3. Reconocer en su equipo a los profesionales técnicos con potencial directivo antes
de promocionarlos, y no después.</t>
  </si>
  <si>
    <t>El 82% de los mandos alcanza su primer puesto de responsabilidad sin preparación directiva previa (Chartered Management Institute). En dirección de proyectos el patrón es reconocible, el mejor técnico recibe el proyecto y la coordinación del equipo. Nadie le explica que la función ha cambiado. El Project Manager técnico resuelve problemas. El directivo instala en otros el criterio para resolverlos. La sesión recorre las cinco decisiones que delatan a quien aún no ha cruzado esa línea, cómo reparte el trabajo, qué hace con la mala noticia, cuándo escala, qué mide y a quién protege con la conducta directiva que corresponde a cada una. Material de intervenciones en organizaciones técnnológicas, industriales y de infraestructura desde 2016.</t>
  </si>
  <si>
    <t>Se expone el Mapa de las Cinco Decisiones, un marco que traslada el salto de Project Manager técnico a Project Manager directivo desde la autopercepción a la conducta observable. Cinco decisiones que cualquiera puede verificar desde fuera, sin cuestionario ni instrumento — el reparto del trabajo, el tratamiento de la mala noticia, el umbral de escalado, el criterio de medición y el objeto de protección. Cada una se presenta en sus dos versiones, la técnica y la directiva, contrastadas y con su indicador visible. El asistente sale con el mapa aplicado a su propia línea de mando. Convierte una transición que suele evaluarse al final de un itinerario formativo en algo diagnosticable el lunes siguiente, sobre decisiones que ya se están tomando. Procede de intervenciones en organizaciones técnicas e industriales desde 2016.</t>
  </si>
  <si>
    <t>https://drive.google.com/open?id=173JA4Hy9XNvqrXmkSwR8DWJAYEiBqlLT</t>
  </si>
  <si>
    <t>bustosdaniel73@gmail.com</t>
  </si>
  <si>
    <r>
      <rPr>
        <color rgb="FF1155CC"/>
        <u/>
      </rPr>
      <t>cherrerasolera@gmail.com</t>
    </r>
  </si>
  <si>
    <t>Nuevatel S.A. - Subdirector de Operaciones</t>
  </si>
  <si>
    <t xml:space="preserve">https://www.viva.com.bo 
VIVA es una telefónica diferente, abierta, con actitud joven que comparte con sus clientes un estilo de vida Millennial, libres de descubrir y experimentar. Opera competitivamente en los servicios de telefonía móvil, telefonía pública, larga distancia, Internet móvil (4G LTE) e inalámbrico de banda ancha. Su patrimonio más importante son sus colaboradores que trabajan con un plan de desarrollo personal, basados en valores y enfocados a la experiencia del cliente.
</t>
  </si>
  <si>
    <t xml:space="preserve">www.linkedin.com/in/daniel-bustos-valdivieso-376166 </t>
  </si>
  <si>
    <r>
      <rPr>
        <rFont val="Liberation Serif"/>
        <color rgb="FF1155CC"/>
        <u/>
      </rPr>
      <t>https://www.linkedin.com/in/carolina-herrera-solera/</t>
    </r>
  </si>
  <si>
    <t>PMP®, PgMP® / PfMP®</t>
  </si>
  <si>
    <t>https://drive.google.com/open?id=1fKnswsqdZVcW2bg301qnOlUKU_LnKezB</t>
  </si>
  <si>
    <t>•	Título de la presentación: Evolución de la PMO a ePMO (Enterprise PMO) – Manejo de Portafolio como parte de la estrategia de la empresa.
Organización: PMI Bolivia – Tour LATAM
Año: 2025
Persona de referencia: Marco Arellano; 677-01708
•	Título de la presentación: Panel “Gobernanza, Inteligencia Artificial y Transformación Digital” (panelista)
Organización: III Cumbre Empresarial por los ODS – Pacto Global
Año: 2026
Persona de referencia: Pamela Michel; 707-10028
•	Título de la presentación: Programa ejecutivo “Gestión Estratégica de Proyectos y Portafolios para Alta Dirección”
Organización: CENACE UPSA
Año: 2026
Persona de referencia: Ronald Camacho; 770-13891
•	Título de la presentación: La Gestión Organizacional de Proyectos y su vínculo con la estrategia empresarial.
Organización: Fundación Viva
Año: 2024
Persona de referencia: Pamela Michel; 707-10028
•	Título de la presentación: Liderazgo Para Jóvenes
Organización: Fundación Viva
Año: 2024
Persona de referencia: Pamela Michel; 707-10028
•	Título de la presentación: Libros para tu mejor versión 
Organización: Conecta Mentora
Año: 2024
Persona de referencia: Luis Jaimes; +1 857 205 8928
•	Título de la presentación: La Gestión Organizacional de Proyectos y su vínculo con la estrategia empresarial.
Organización: PMI Cochabamba
Año: 2023
Persona de referencia: Ramiro Sanchez; 675-57461
•	Título de la presentación: Las certificaciones y la estrategia de la empresa.
Organización: PMI Cochabamba
Año: 2022
Persona de referencia: Ramiro Sanchez; 675-57461</t>
  </si>
  <si>
    <t>Experiencia en presentaciones empresariales en el PMI así como vasta experiencia en presentaciones ejecutivas y para toda la empresa al interno de Viva.</t>
  </si>
  <si>
    <t>Nadie adopta una PMO por decreto: por qué mueren las PMO y cómo la transformación organizacional las hace sostenibles.</t>
  </si>
  <si>
    <t xml:space="preserve">1.	Demostrar que implementar la gestión de proyectos a nivel empresa (PMO, gobernanza y gestión organizacional de proyectos) es un proceso de transformación organizacional y no un proyecto de procesos, plantillas o metodologías.
2.	Identificar las señales tempranas de riesgo en el ciclo de vida de una PMO, a partir de los escenarios contextuales de la Guía de Práctica PMO del PMI®, y las causas humanas que la llevan a la crisis, el declive y el colapso.
3.	Aplicar el Flywheel generador de valor y el ciclo de implementación de gobernanza como mecanismos concretos de adopción y sostenibilidad.
4.	Compartir una secuencia práctica de implementación y lecciones aprendidas de más de 20 años liderando PMO y portafolios en el sector de telecomunicaciones.
</t>
  </si>
  <si>
    <t xml:space="preserve">•	Tesis: una PMO no fracasa por su metodología, sino por falta de adopción; implementarla es gestionar un cambio organizacional.
•	Contenido: escenarios de la PMO, madurez OPM, gobernanza y Flywheel de valor (PMI®), con casos reales de telecomunicaciones.
•	Metodología: PPT clásico con lecciones aprendidas y preguntas vía moderador virtual.
•	Conclusión: cuando esta sesión finalice, los participantes estarán aptos para diagnosticar la etapa de su PMO y activar las palancas que la hagan sostenible.
</t>
  </si>
  <si>
    <t>Considero que la conversación sobre PMO en nuestra región sigue centrada en qué modelo elegir o qué metodología implementar, cuando la pregunta que define el éxito es cómo lograr que la organización lo adopte y lo sostenga en el tiempo. La propuesta integra, bajo el lente de la transformación organizacional, tres documentos del PMI® que normalmente se presentan por separado, incluyendo la Guía de Práctica PMO en su edición más reciente, y plantea una secuencia de implementación que contradice la receta habitual: primero observar, luego operar y recién después documentar. Con ella, cualquier directivo puede evaluar en qué etapa se encuentra su PMO y qué decisión tomar al día siguiente.</t>
  </si>
  <si>
    <t>https://drive.google.com/open?id=1VbhkpDQaU7hoaOyG3NrADi06H0iYDZ06</t>
  </si>
  <si>
    <t>mbenitezcodas@gmail.com</t>
  </si>
  <si>
    <t>CEAMSO</t>
  </si>
  <si>
    <t>https://www.linkedin.com/in/manuel-benitez-codas-704a864/</t>
  </si>
  <si>
    <t>PM4R Expert Certificate</t>
  </si>
  <si>
    <t>https://drive.google.com/open?id=1fJq2fTm1imqI8JyMbVZ16rutP6D0EpNV</t>
  </si>
  <si>
    <t xml:space="preserve">
Título: Actualización de la conferencia “Sobreprecios en obras de infraestructura” (dentro del Congreso Internacional de Dirección de Proyectos: “Proyectando Paraguay 2023”)
Organización: PMI Capítulo Asunción[cite:
Año: 2023
Persona de referencia / Contacto:
José Murto (Presidente del Consejo Directivo, PMI Capítulo Asunción). 
Teléfono: +595 981 379 220. 
E-mail: presidencia@pmi.org.py / info@pmi.org.py. 
</t>
  </si>
  <si>
    <t xml:space="preserve">El historial de exposiciones abarca una amplia trayectoria como conferencista y expositor en congresos nacionales e internacionales de dirección de proyectos, ingeniería y gestión. Entre sus participaciones más destacadas figuran múltiples intervenciones en los Congresos Internacionales de Dirección de Proyectos del PMI en Asunción, así como ponencias en foros de Uruguay, Panamá, Estados Unidos, Corea del Sud, Venezuela, Bolivia, Italia, Suiza y Brasil, abordando temáticas clave como sobreprecios en obras de infraestructura, gestión de la obsolescencia tecnológica, proyectos ferroviarios y competitividad. </t>
  </si>
  <si>
    <t xml:space="preserve">Objetivo General:
Analizar el valor diferencial de la Inteligencia Artificial Generativa (IAG) en el ámbito profesional a través de su simbiosis con el criterio experto y los marcos metodológicos de validación, con el fin de proponer el modelo del «profesional centauro» como una integración simbiótica entre la capacidad algorítmica y el juicio humano. 
Objetivos Específicos:
AAA.  Examinar la complementariedad entre la automatización tecnológica y la experiencia humana, contrastando el falso dilema de la sustitución de tareas con la necesidad crítica de criterio experto para interpretar y contextualizar la información. 
BBB. . Establecer un modelo de curaduría experta que permita mitigar riesgos como las «alucinaciones» y la uniformidad analítica, garantizando la validación normativa, técnica e institucional de los contenidos generados por la IA. 
CCC.  Describir los pilares fundamentales del paradigma del «profesional centauro» (prompting estratégico, inteligencia contextual, curaduría experta, y ética y rigor profesional) para redefinir la productividad aumentada y la toma de decisiones estratégicas. 
</t>
  </si>
  <si>
    <t xml:space="preserve">La ponencia  argumenta que el verdadero valor de la Inteligencia Artificial Generativa (IAG) en las organizaciones no es la automatización, sino su integración simbiótica con el criterio experto a través del modelo del «profesional centauro». En este enfoque, la tecnología multiplica la fuerza cognitiva mientras que la experiencia humana aporta la semántica, la pertinencia y la curaduría necesaria para mitigar riesgos y asegurar el rigor institucional. </t>
  </si>
  <si>
    <t>El  concepto innovador que se expone es el del «profesional centauro»: una integración simbiótica y colaborativa entre la capacidad generativa y de procesamiento de la Inteligencia Artificial Generativa (IAG) y el juicio crítico, la trayectoria y el criterio experto humano.  Bajo este paradigma, la tecnología actúa como un multiplicador de fuerza cognitiva y velocidad, mientras que la experiencia humana funciona como una brújula estratégica que aporta la semántica y la validación a través de cuatro pilares metodológicos: prompting estratégico, inteligencia contextual, curaduría experta, y ética y rigor profesional.</t>
  </si>
  <si>
    <t>https://drive.google.com/open?id=1g-z3i8hi26kZm86d2b2NFD_jHHywZ9Ko</t>
  </si>
  <si>
    <t>ilmunoz@icesi.edu.co</t>
  </si>
  <si>
    <t>INGRID LUCIA MUÑOZ PERIÑAN</t>
  </si>
  <si>
    <t>Lider Senior de Consultoria en Gerencia de Proyectos, Ciberseguridad y Seguridad de la Información ,  Directora de la Maestría en Ciberseguridad</t>
  </si>
  <si>
    <t>www.icesi.edu.co</t>
  </si>
  <si>
    <t>https://www.linkedin.com/in/ingrid-lucia-munoz/</t>
  </si>
  <si>
    <t xml:space="preserve">PMP®, PMO-CP, </t>
  </si>
  <si>
    <t>https://drive.google.com/open?id=181WlZQeuM9HoKOJ2DKxWeE1ZE290MZZW</t>
  </si>
  <si>
    <t>¿TU PMO GENERA VALOR… O SOLO GENERA REPORTES? - PMI Pacificio, 2026,  Jefferson educacion@pmipacificocolombia.org  314 7841572,   OKR - Planeación Estratégica,  PMI Republica Dominicana, 2023,  Anyi Mendez, mendez.anma@gmail.com +1 (809) 543-5527, ISO 27001 COMO ESTRATEGIA, INFOSECURITY 2024, Martin Vila martin.vila@isec-global.net, el IQ del GErente de proyectos,  PMI PACIFICO 2021,  Deisy Jimenez, "Presidencia PMI Pacifico Colombia" &lt;presidencia@pmipacificocolombia.org&gt; , 320 7090256,  La Seguridad sin fronteras,   2026,  Seguridad Atlas - Icesi,  Andres Naranjo "Andres Felipe Naranjo Cadena" &lt;afnaranjo@icesi.edu.co&gt;  311 7710458</t>
  </si>
  <si>
    <t>Disfruto compartir mi conocimiento como docente, escritora de libro de gerencia de proyectos, como consultor Senior, porque puedo además de compartir, aprender de los participantes que agradecen el tiempo y el esfuero de preparación, me siento cómoda dictando conferencias, talleres, charlas.</t>
  </si>
  <si>
    <t>Tu organización es el cliente Diseñando una PMO a la medida, potenciada con IA</t>
  </si>
  <si>
    <t xml:space="preserve">1)Comprender el flywheel generador de valor de la PMO, 2)Definir el TOP 10 esperado para el cliente a partir de los 30 resultados de valor, 3) Diseñar el portafolio de una PMO a partir de los 26 servicios,4) Equipar a la PMO del TOP 10 de competencias a partir de las 30 competencias propuetas del marco Value Ring </t>
  </si>
  <si>
    <t>Idea central: si la organización es el cliente, la PMO es su proveedora; el valor lo declara el cliente (marco PMO Value Ring™, PMI 2025).
Metodología: conferencia interactiva con encuesta en el chat, caso real y tres rondas en vivo con un simulador que usa IA.
Dinámica: 30 resultados → Top 10; 26 servicios → portafolio a la medida; 30 competencias → 10 críticas con brechas.
Conclusión: qué valor priorizar, qué servicios prestar y qué equipo necesitar sale del cliente; la IA acelera y la PMO decide.
Cuando esta sesión finalice, los participantes estarán aptos para diseñar una PMO a la medida: priorizar resultados de valor, definir su portafolio de servicios e identificar las competencias del equipo, apoyándose en IA.</t>
  </si>
  <si>
    <t>Innovación
La sesión presenta un simulador en vivo, desarrollado con inteligencia artificial generativa, que aplica las matrices del marco PMO Value Ring™ (PMI, 2025) para diseñar una PMO a la medida en tiempo real. Las frases que la audiencia escribe en el chat se convierten en insumo: la IA las clasifica en los 30 resultados potenciales del marco, propone un portafolio entre los 26 servicios y deriva las 10 competencias críticas del equipo, con roles y un plan de cierre de brechas. Es una evaluación de necesidades a escala: lo que antes tomaba semanas de entrevistas se resuelve en minutos con cientos de voces reales. Todo se hace con una regla de uso responsable: la IA propone y la PMO valida y decide.</t>
  </si>
  <si>
    <t>https://drive.google.com/open?id=1UemDWP_x91uY6YvVeOUPUhKbzWQMtq2x</t>
  </si>
  <si>
    <t>monicadelsouc@gmail.com</t>
  </si>
  <si>
    <t>LEAD Cono Sur</t>
  </si>
  <si>
    <t>www.leadconsultora.com</t>
  </si>
  <si>
    <r>
      <rPr>
        <color rgb="FF1155CC"/>
        <u/>
      </rPr>
      <t>nathalie.f.altez@gmail.com</t>
    </r>
  </si>
  <si>
    <t>mdelsouc@leadconsultora.com</t>
  </si>
  <si>
    <t>www.linkedin.com/in/monica-delsouc-63130149</t>
  </si>
  <si>
    <t>www.linkedin.com/in/ nathalie-fuentes-altez</t>
  </si>
  <si>
    <t>PgMP® / PfMP®</t>
  </si>
  <si>
    <t>https://drive.google.com/open?id=1aSN-CK5goy0HekSfRPh_F5iA5YY5toRy</t>
  </si>
  <si>
    <t>GMT-8</t>
  </si>
  <si>
    <r>
      <rPr>
        <color rgb="FF1155CC"/>
        <u/>
      </rPr>
      <t>luisgtz2@gmail.com</t>
    </r>
  </si>
  <si>
    <t>Presidenta Capítulo Nuevo Cuyo-Andes Patagonia
Project Manager Minera San Juan
Directora General Lead Chile
Mentora Acde (cámara empresarial)
Capacitadora en Empresa familiar y planificación estratégica (Aderpe-Cámara empresarial)
Abogada en Chile-Argentina</t>
  </si>
  <si>
    <t>Soy conferencista en varios países, expongo en congresos, encuentros nacionales y trinacionales con más de 15 años de experiencia.</t>
  </si>
  <si>
    <t>Dar a conocer el programa
Integración 2027 con Bolivia</t>
  </si>
  <si>
    <t>Se dará a conocer el programa con sus objetivos, metodologías, áreas, integrantes y prácticas</t>
  </si>
  <si>
    <t>Concepto innovador que actualmente tres países se han unido para fortalecer el sector minero a través de la elevación de proyectos</t>
  </si>
  <si>
    <r>
      <rPr>
        <rFont val="Liberation Serif"/>
        <color rgb="FF1155CC"/>
        <u/>
      </rPr>
      <t>www.linkedin.com/in/luis-gutierrez-324b001a</t>
    </r>
  </si>
  <si>
    <t>https://drive.google.com/open?id=1zgM28Lk_jQ86F5HfkTJuTTOQDkLslsGK</t>
  </si>
  <si>
    <t>ycar2271@gmail.com</t>
  </si>
  <si>
    <t>BoD-Advisors / Board Advisor &amp; Strategist</t>
  </si>
  <si>
    <t>https://bod-advisors.com/</t>
  </si>
  <si>
    <r>
      <rPr>
        <color rgb="FF1155CC"/>
        <u/>
      </rPr>
      <t>gabriela@gutierrezcoaching.com</t>
    </r>
  </si>
  <si>
    <t>yaravi@BoD-Advisors.com</t>
  </si>
  <si>
    <t>www.linkedin.com/in/yaravi-cardoze</t>
  </si>
  <si>
    <r>
      <rPr>
        <rFont val="Liberation Serif"/>
        <color rgb="FF1155CC"/>
        <u/>
      </rPr>
      <t>www.linkedin.com/in/gabrielagutierrez</t>
    </r>
  </si>
  <si>
    <t>PMP®, LIMC, OTF, BrightLine</t>
  </si>
  <si>
    <t>https://drive.google.com/open?id=1HtQ5GliZ8iRlJajWWX3ZFtTV76JI3456</t>
  </si>
  <si>
    <t>Descritas en la bio</t>
  </si>
  <si>
    <t>Keynote Speaker internacional</t>
  </si>
  <si>
    <t>Guias tacticas para implementacion de IA Agentica en las organizaciones</t>
  </si>
  <si>
    <t xml:space="preserve">Los participantes obtendrán guías sobre las Consideraciones y aspectos relevantes que deben priorizarse al implementar IA Agéntica como motor de generación de valor en las organizaciones, basado en experiencias reales y actuales. </t>
  </si>
  <si>
    <t>Consideraciones y aspectos relevantes que deben priorizarse al implementar IA Agéntica como motor de generación de valor en las organizaciones</t>
  </si>
  <si>
    <t>Lab interactivo de IA Agéntica será demostrado como parte de la conferencia</t>
  </si>
  <si>
    <t>Luis Guardado</t>
  </si>
  <si>
    <t>https://drive.google.com/open?id=1m3Euava44tX9qYpNggWSupSjIerR1mbU</t>
  </si>
  <si>
    <t>shogun.shimose@gmail.com</t>
  </si>
  <si>
    <t>San Cristobal Mining / Portfolio Project Manager</t>
  </si>
  <si>
    <t>https://www.minerasancristobal.com/v3/es/</t>
  </si>
  <si>
    <t>+503 7859 0578</t>
  </si>
  <si>
    <t>https://www.linkedin.com/in/shogun-shimose/</t>
  </si>
  <si>
    <t>el Diamante PONTE para liderar proyectos que crean valor.</t>
  </si>
  <si>
    <t>PMP®, Disciplined Agile avanzada (DAC, DAVSC), CSM, SAFe SA, DASM</t>
  </si>
  <si>
    <t>https://drive.google.com/open?id=18_hWMO6lN9aUweNPdX_J6hOJbjZkv2MX</t>
  </si>
  <si>
    <r>
      <rPr>
        <rFont val="Liberation Serif"/>
        <color rgb="FF1155CC"/>
        <u/>
      </rPr>
      <t>linkedin.com/in/nelia-ponte</t>
    </r>
  </si>
  <si>
    <t>2022 Cómo aprobar el exámen PMP y no morir en el intento | Sesiones motivacionales Comunidad PMI La Paz 
2024 Transformación Ágil en Proyectos: Un Viaje de 2 Horas de Cero a
Experto | Congreso Bolivia TL-24
2025 De Bolivia al mundo: el rol estratégico de la PMO en la internacionalización empresarial | Congreso Bolivia TL-25
2025 What Top PMOs look for in Talent | PMO Career Week 2025 (Idioma Ingles)
Perdonas de Referencia: 
Marco Arellano
Diego Delgadillo
Shanelle Bautista</t>
  </si>
  <si>
    <t>Durante los últimos cinco años he participado activamente como speaker en espacios nacionales e internacionales vinculados con la dirección de proyectos, PMO, liderazgo, desarrollo profesional y transformación organizacional. En 2022 inicié una serie de charlas orientadas a motivar a profesionales de la gestión de proyectos a fortalecer sus competencias y avanzar en su desarrollo profesional mediante la obtención de certificaciones internacionales del Project Management Institute (PMI).
Posteriormente, he participado como expositor en el Congreso Internacional de Dirección de Proyectos – Tour LATAM Bolivia en las ediciones 2024 y 2025, compartiendo experiencias, buenas prácticas y casos aplicados con profesionales de distintos sectores. En 2025, fui además invitado como speaker internacional del PMO Career Week, consolidando mi participación en escenarios globales especializados en gestión de proyectos y Oficinas de Dirección de Proyectos.
A lo largo de este periodo también he participado en conferencias, webinars, talleres y encuentros profesionales, contribuyendo al intercambio de conocimiento, al desarrollo de nuevas capacidades y al fortalecimiento de la comunidad de gestión de proyectos en Bolivia y Latinoamérica.</t>
  </si>
  <si>
    <t>Nélia Ponte Vieira: Ejecutiva, consultora senior y conferencista internacional con más de 26 años de trayectoria, liderando proyectos estratégicos en varios países de América Latina, EE. UU. y España. Especialista en gobierno de portafolios, proyectos y programas, agilidad organizacional, reingeniería de procesos y gestión del cambio. Ha ocupado posiciones ejecutivas en PMO’s, Procesos y Calidad, asesorando a sectores de banca, entretenimiento, salud y consumo masivo. 
Posee estudios de Maestría en Gerencia, Especialización en Desarrollo Organizacional, y cuenta con un sólido banco de credenciales internacionales, destacando PMP®, Six Sigma Black Belt, PRINCE2®, Scrum Master y Auditor Líder ISO.
Docente e investigadora en instituciones como UCAB, UMA, IESA, Universidad Casa Grande y ADEN University.
Suma 22 años de liderazgo voluntario en el PMI Capítulo Venezuela donde ocupó la Dirección de Educación, y Administración y Secretaría. 
Su experticia combina una visión estratégica, excelencia operacional e innovación para la generación de valor.</t>
  </si>
  <si>
    <t>Antonio Maturano Huerta</t>
  </si>
  <si>
    <t>Capacitar y dotar a líderes empresariales, directores de proyectos y gestores de PMO de herramientas, metodologías y marcos de trabajo prácticos para transformar la Oficina de Gestión de Proyectos en un motor de resiliencia económica, optimización financiera y adaptabilidad estratégica frente al contexto macroeconómico actual de Bolivia.</t>
  </si>
  <si>
    <t>La conferencia "PMO 4.0 &amp; Resiliencia Económica" aborda la transformación de la Oficina de Gestión de Proyectos en Bolivia, proponiendo evolucionar desde un enfoque tradicional centrado en el control rígido de procesos hacia un modelo estratégico, ágil y digitalizado. Frente a la coyuntura macroeconómica actual —marcada por la restricción de liquidez, presiones cambiarias y volatilidad operativa—, la presentación demuestra cómo implementar el Lean Portfolio Management, metodologías híbridas y analítica predictiva con inteligencia artificial para priorizar iniciativas por retorno financiero rápido, optimizar el flujo de caja, reducir la burocracia y tomar decisiones informadas en tiempo real que garanticen la sostenibilidad y competitividad del negocio.</t>
  </si>
  <si>
    <t>Mexico</t>
  </si>
  <si>
    <t>El concepto innovador de PMO 4.0 &amp; Resiliencia Económica radica en redefinir la Oficina de Gestión de Proyectos en Bolivia como un motor estratégico e inteligente de liquidez, abandonando la rigidez burocrática del estándar tradicional para convertirse en un organismo dinámico que combina el Lean Portfolio Management, los marcos ágiles híbridos y la analítica predictiva con Inteligencia Artificial.</t>
  </si>
  <si>
    <t>https://drive.google.com/open?id=1sCVMDhUe216n9SBnyFxpc3tOiI0q_tsC</t>
  </si>
  <si>
    <t>B C M</t>
  </si>
  <si>
    <t>Innovar sin caos: cómo crear seguridad psicológica para que las ideas prosperen</t>
  </si>
  <si>
    <t>La sesión abordará cómo la seguridad psicológica impulsa la innovación al reducir el miedo a equivocarse y favorecer la participación, la colaboración y la toma de decisiones.
Se explicará por qué innovar no requiere caos, sino un equilibrio entre confianza, foco, disciplina y accountability.
Se compartirán prácticas concretas de liderazgo y facilitación para crear entornos donde las ideas puedan surgir, discutirse y transformarse en acción.
La metodología combinará presentación visual tipo PPT, ejemplos reales, reflexión guiada e interacción con la audiencia para aterrizar conceptos en situaciones cotidianas.
También se revisarán hábitos de aprendizaje continuo que fortalecen culturas de mejora e innovación sostenida en equipos y organizaciones.
Cuando esta sesión finalice, los participantes estarán aptos para identificar bloqueos, aplicar acciones prácticas para generar seguridad psicológica y promover innovación con orden, claridad y resultados.</t>
  </si>
  <si>
    <t>+52 5632197408</t>
  </si>
  <si>
    <t>antonio_maturano@hotmail.com</t>
  </si>
  <si>
    <t>stalin.rivas@gmail.com</t>
  </si>
  <si>
    <t>Biografía del expositor: Antonio Maturano Huerta
Antonio Maturano Huerta es Maestro en Administración de Organizaciones por la Universidad Nacional Autónoma de México (UNAM) e Ingeniero Químico Industrial por el Instituto Politécnico Nacional (IPN). Cuenta con más de 16 años de experiencia en dirección y gestión de proyectos, oficinas de dirección de proyectos (PMO), transformación organizacional y desarrollo de habilidades gerenciales en los sectores alimenticio, automotriz, manufacturero y de telecomunicaciones.
Es Project Management Professional (PMP®), PRINCE2® y facilitador certificado de LEGO® SERIOUS PLAY®. En 2026 fue distinguido como PMI Chapter Leadership Impact Award Honoree, reconocimiento internacional del Project Management Institute por el impacto del liderazgo y el trabajo colaborativo en la comunidad de dirección de proyectos.
Se desempeña como docente en programas de educación ejecutiva del Tecnológico de Monterrey y la Universidad Anáhuac, contribuyendo al desarrollo de competencias en gestión de proyectos, liderazgo, comunicación, negociación e innovación. Su enfoque integra metodologías participativas y herramientas prácticas para fortalecer las habilidades de los profesionales y equipos de trabajo.
Como conferencista y facilitador internacional, ha participado en congresos, seminarios y encuentros de comunidades del Project Management Institute en América Latina, incluyendo Bogotá y Lima. Sus ponencias y talleres abordan la evolución de las PMO, el liderazgo, las Power Skills y la generación de valor en los proyectos. Asimismo, ha publicado artículos especializados sobre liderazgo, voluntariado y desarrollo del conocimiento en LSP Magazine.
Actualmente es presidente del PMI Bajío México Chapter y presidente del Toastmasters Club Líderes en Movimiento para el periodo 2026-2027. Desde ambos espacios promueve el liderazgo, la comunicación efectiva, el desarrollo profesional y el aprendizaje colaborativo, convencido de que enseñar es compartir y dar luz.</t>
  </si>
  <si>
    <t>Insoltech / CEO</t>
  </si>
  <si>
    <t>www.insoltech.net</t>
  </si>
  <si>
    <t>OSCAR SILES CHAVEZ</t>
  </si>
  <si>
    <t>B B CE</t>
  </si>
  <si>
    <t>DE EXCEL A LA INTELIGENCIA ARTIFICIAL: UNA NUEVA GENERACIÓN DE MODELOS PARA EVALUAR LA VIABILIDAD TÉCNICO-ECONÓMICA DE PROYECTOS DE ENERGÍAS RENOVABLES</t>
  </si>
  <si>
    <t>- Transformación de modelos Excel tradicionales en plataformas avanzadas de evaluación técnico-económica mediante Inteligencia Artificial.
- Desarrollo de un modelo integrado para estimar CAPEX, calcular LCOE y evaluar la viabilidad financiera de cinco tecnologías renovables.
- Aplicación de IA para automatización, dashboards HTML interactivos, simulación de escenarios y auditoría de cálculos.
- Metodología: exposición ejecutiva en PowerPoint, demostración multimedia y visualización práctica del modelo desarrollado con IA.
- Conclusión: la IA potencia las capacidades del profesional, optimizando el desarrollo, validación y análisis de modelos de inversión.
- Al finalizar, los participantes estarán aptos para identificar y aplicar una metodología de integración de IA en modelos técnico-económicos, orientada a mejorar su eficiencia, confiabilidad y utilidad para la toma de decisiones.</t>
  </si>
  <si>
    <t>+59170722333</t>
  </si>
  <si>
    <t>oscar.siles.chavez@gmail.com</t>
  </si>
  <si>
    <t>www.linkedin.com/in/stalinrivas</t>
  </si>
  <si>
    <t xml:space="preserve">Ingeniero Eléctrico, Consultor Senior en Energía, Ingeniería de Costos, Planificación y Control de Proyectos
-	Ingeniero Eléctrico, 30 años de experiencia.
-	Actual Presidente de la AEE Capitulo Bolivia (Asociación de Ingenieros de Energía con sede en USA).
-	Maestrías en Gerenciamiento TICs (España), Proyectos para el Desarrollo (Bolivia), Seguridad y Defensa Nacional (Bolivia).
-	Credenciales CCP en la AACEI, PMP en el PMI y AI4PM (Artificial Intelligence).
-	Past Director AACE Región 10 LATAM.
-	20 años Arbitro en Centro de Conciliación y Arbitraje de la ICAM Cochabamba.
-	Especialidad en Análisis de Negocio (India).
-	Especialidad en Modelado Financiero en Proyectos de Energías Renovables (USA).
-	Especialidad en Proyectos Energéticos y de Hidrógeno Verde (OLADE).
-	Miembro Honorifico de IRACE (Asociación Iraní de Ingeniería de Costos).
-	Juez evaluador en el evento global Project Controls EXPO Awards (U.K.) desde año 2020 a la fecha (solo 3 somos invitados cada año como jueces).
-	Consultor Senior internacional en industrias de energía, oil &amp; gas, petroquímica, construcción, con foco en áreas de Gestión de Negocios, Gestión de Portafolio y Proyectos, Control de Proyectos, Ingeniería de Costos, Gestión de Claims, implementación de PMOs, FEL-EPC, OPM3, Índice PDRI.
-	Socio empresa QDR International (Claims y Peritajes para Arbitrajes internacionales).
-	Gerente propietario empresa PMC-Bolivia.
-	Profesor de maestrías en Bolivia y otros países (+16 años).
</t>
  </si>
  <si>
    <t>PMP®, PMI-ACP®, Disciplined Agile avanzada (DAC, DAVSC), Certified Scrum Professional - Scrum Master, Certified Scrum Professional - Product Owner, Certified LeSS Basic</t>
  </si>
  <si>
    <t>https://drive.google.com/open?id=1ifubSjK_rgUvKeOAITIb4Qpi9e0TYyfe</t>
  </si>
  <si>
    <t>Ver en CV Adjunto</t>
  </si>
  <si>
    <t>• Explicar el concepto de IA agéntica y su diferencia con IA conversacional.
• Identificar casos de uso en dirección de proyectos y SDLC.
• Proponer una arquitectura de agentes aplicada a proyectos.
• Definir un roadmap de adopción organizacional.</t>
  </si>
  <si>
    <t>La inteligencia artificial ha evolucionado rápidamente desde modelos de asistencia hasta
sistemas autónomos capaces de ejecutar tareas complejas: los llamados agentes
inteligentes. En el contexto de la dirección de proyectos, esta evolución abre una nueva
frontera: la automatización inteligente del ciclo de vida del proyecto.
Esta ponencia explora cómo la IA agéntica puede integrarse en el Software Development
Lifecycle (SDLC) y en la gestión de proyectos para automatizar actividades como análisis
de requerimientos, planificación, gestión de riesgos, aseguramiento de calidad y monitoreo
de desempeño.
Se presentará un modelo de arquitectura de agentes aplicado a la dirección de proyectos,
junto con casos de uso reales y un enfoque progresivo de adopción que maximiza valor sin
comprometer gobernanza ni control.</t>
  </si>
  <si>
    <t>El concepto de IA Agéntica aplicada a la dirección de proyectos es relativamente novedoso y propone tanto una metodologia de trabajo usando agentes como herramientas tecnológicas (los mismos agentes).</t>
  </si>
  <si>
    <t>https://drive.google.com/open?id=1V0sfpJjq8qUGUQdFR-OHDIpNoGVhaZ-J</t>
  </si>
  <si>
    <t>rene.neira.marin@gmail.com</t>
  </si>
  <si>
    <t>Rene Neira Marin</t>
  </si>
  <si>
    <t>PMI Norte de Chile / Presidente</t>
  </si>
  <si>
    <t>www.pminortechile.cl / www.linkedin.com/in/pminortechile/</t>
  </si>
  <si>
    <t>www.linkedin.com/in/rene-neira-mba-pmp/</t>
  </si>
  <si>
    <t>https://drive.google.com/open?id=1o3v_vNmNOeyCKxXfDuB9WuLeuI3e5J8a</t>
  </si>
  <si>
    <t xml:space="preserve">Del papel a la realidad: ¿Cómo se controla un mega proyecto en el mundo real?. / Universidad peruana de ciencias aplicadas / 2026 / Paul Villacorta +51 999298705.
Del Plan a la excelencia, Metodologías para el Control y la Planificación de Proyectos / Fundación WE / 2026 / Valeria Anyosa +51 993492927
</t>
  </si>
  <si>
    <t>En los últimos cinco años he desarrollado una sólida trayectoria como expositor nacional e internacional, liderando relatorías corporativas especializadas en gestión de proyectos bajo el marco del PMBOK 7 y 8 y participando activamente como ponente nacional en planificación y control de proyectos. En el ámbito internacional, he expuesto en Perú ante la Universidad Peruana de Ciencias Aplicadas ("Del papel a la realidad: ¿Cómo se controla un mega proyecto en el mundo real?") y la Fundación WE ("Del Plan a la excelencia, Metodologías para el Control y la Planificación de Proyectos"), aportando un enfoque aplicado a la ejecución y control de iniciativas de gran escala.</t>
  </si>
  <si>
    <t xml:space="preserve">* Comprender cómo la Inteligencia Artificial se incorpora al marco de la Guía del PMBOK 8a edición y sus principales estrategias de adopción.
* Diferenciar los niveles de intervención de la IA: automatización, asistencia y aumento, según la complejidad de las tareas y el nivel de supervisión requerido.
* Identificar casos de uso concretos de IA aplicables a la planificación, gestión de riesgos, cronogramas, líneas base y monitoreo y control de proyectos.
* Reconocer los principales riesgos asociados al uso de IA y la importancia de la gobernanza, validación y responsabilidad humana.
* Aplicar una hoja de ruta práctica para identificar y pilotear oportunidades de adopción de IA en sus propios proyectos.
</t>
  </si>
  <si>
    <t>* Introducción al rol de la Inteligencia Artificial en la Guía del PMBOK® 8ª edición y al modelo de automatización, asistencia y aumento.
* Exploración de casos de uso de IA aplicados a planificación, cronogramas, riesgos y líneas base, mediante ejemplos prácticos.
* Aplicación de IA al monitoreo y control: alertas tempranas, análisis de desviaciones, generación de reportes y gestión de información.
* Revisión de riesgos, gobernanza y buenas prácticas para un uso responsable, manteniendo la decisión y responsabilidad en las personas.
* Mediante una metodología visual, casos de uso y ejemplos de interacción con herramientas de IA, los participantes estarán aptos para identificar oportunidades y diseñar un primer piloto de IA en sus proyectos.</t>
  </si>
  <si>
    <t>La innovación de la propuesta consiste en trasladar la Inteligencia Artificial desde un concepto tecnológico hacia un modelo práctico de aplicación en la dirección de proyectos, utilizando como marco la Guía del PMBOK 8a edición. Se presenta una metodología para clasificar cada tarea según su nivel de complejidad y definir si corresponde utilizar IA para automatización, asistencia o aumento. A través de casos de uso y ejemplos prácticos, se muestra cómo agentes de IA pueden apoyar la planificación y generar alertas tempranas, análisis y reportes durante el monitoreo y control, manteniendo siempre la validación y decisión humana. Finalmente, se entrega una hoja de ruta para transformar estos casos de uso en pilotos concretos dentro de los proyectos.</t>
  </si>
  <si>
    <t>https://drive.google.com/open?id=1KHE_CueSWOxsGDciKO6aD09YBH87iiHe</t>
  </si>
  <si>
    <t>jspunta@gmail.com</t>
  </si>
  <si>
    <t>DaMap.tech — Financial Reconciliation Automation | Fintech Business Partner</t>
  </si>
  <si>
    <t xml:space="preserve">Web: https://damap.tech/
LinkedIn: https://www.linkedin.com/company/damaptech/
DaMap.tech es una plataforma SaaS B2B de conciliación financiera automatizada con inteligencia artificial, con operación en diversos países de LATAM. 
</t>
  </si>
  <si>
    <t>Carlos.Schellenberg@evolutionconsultora.com</t>
  </si>
  <si>
    <t>https://www.linkedin.com/in/carlos-schellenberg</t>
  </si>
  <si>
    <t>PMP®, PMI-ACP®, CPMAI</t>
  </si>
  <si>
    <t>https://drive.google.com/open?id=1XF_5sCEOBU-ewSOdwAvJ0Vp8A5rLwxTD</t>
  </si>
  <si>
    <t xml:space="preserve">Título	Organización / Evento	Año	Referencia
Programa de Mentoring	Congreso Internacional PMI Capítulo Montevideo	2022	Guillermo Galmes, ggalmes.pmp@gmail.com
Panelista sobre Agilidad	Global Blockchain Summit	2025	Ignacio Varese, organizador principal – ivarese@gmail.com
Productos Ágiles	Red de Estudio LATAM del PMI-ACP (Sesiones de Estudio PMI-ACP)	2025	Ronald Castro, Comité Organizador – ingronaldcastro@gmail.com
Moderador del panel «Personas y Agentes de IA: ¿Quién dirige a quién?» (Centro de Excelencia en IA, PMI Montevideo)	Global Blockchain Summit — Hotel Radisson, Montevideo	2026	Ignacio Varese, organizador principal – ivarese@gmail.com
</t>
  </si>
  <si>
    <t>En los últimos cinco años he participado como expositor, panelista y moderador en eventos profesionales y académicos vinculados a la dirección de proyectos, la agilidad y la inteligencia artificial, tanto presenciales como virtuales. Entre ellos, el Congreso Internacional del PMI Capítulo Montevideo (2022), la Red de Estudio LATAM del PMI-ACP (2025), con una audiencia de 257 participantes de la región, y el Global Blockchain Summit en sus ediciones 2025 y 2026. En la edición 2026, celebrada en el Hotel Radisson de Montevideo, moderé el panel «Personas y Agentes de IA: ¿Quién dirige a quién?» en representación del Centro de Excelencia en IA del PMI Montevideo, en un evento con aproximadamente 1.000 asistentes presenciales y más de 10.000 participantes virtuales a través de la plataforma del evento, su aplicación oficial, la transmisión por streaming y el canal de cable Asuntos Públicos de TCC. A esto se suma mi experiencia docente, que me ha permitido desarrollar una comunicación clara y práctica con audiencias de distintos perfiles.</t>
  </si>
  <si>
    <t xml:space="preserve">1.	Distinguir los dos roles de la IA en la dirección de proyectos que plantea el estándar de PMI para IA (2026): la IA como herramienta del director de proyectos y la IA como entregable del proyecto.
2.	Explicar por qué un proyecto de IA no puede gestionarse como un proyecto de software tradicional: resultado incierto, datos como insumo crítico, ciclo iterativo y degradación del modelo en operación.
3.	Aplicar las seis fases de la metodología CPMAI y los principios del estándar de PMI a un caso real de detección de fraude en medios de pago.
4.	Brindar a los participantes un Checklist de decisión Go/No-Go por fase, aplicable de inmediato a sus proyectos de IA.
</t>
  </si>
  <si>
    <t>Más del 80 % de los proyectos de IA fracasan, y la causa principal no es tecnológica: se gestionan como si fueran otra cosa. La sesión presenta el nuevo estándar de PMI para IA en portafolios, programas y proyectos, distingue la IA como herramienta del PM de la IA como entregable, y recorre las seis fases de CPMAI con un caso real de detección de fraude en pagos. Metodología: exposición con PPT, caso real e interacción con la audiencia mediante preguntas en el chat. Al finalizar, los participantes estarán aptos para identificar qué rol cumple la IA en sus proyectos, reconocer los riesgos propios de un proyecto de IA y aplicar un Checklist de decisión Go/No-Go en cada fase.</t>
  </si>
  <si>
    <t>La sesión presenta el estándar de PMI para Inteligencia Artificial en Portafolios, Programas y Proyectos, publicado en 2026 y todavía poco difundido en la región, articulado con la metodología CPMAI (seis fases iterativas centradas en los datos). En lugar de exponer los principios del estándar en forma teórica, se aplican sobre un caso real de detección de fraude en medios de pago, mostrando decisiones concretas que no suelen aparecer en la literatura (por ejemplo, el impacto de la demora de los contracargos en el entrenamiento del modelo). Como herramienta práctica, se entrega un Checklist de decisión Go/No-Go por fase.</t>
  </si>
  <si>
    <t>De ser posible, agradecería que mi sesión se programe el viernes 20 de noviembre. Asimismo, agradecería conocer el horario asignado y si la sesión será en paralelo con otras.</t>
  </si>
  <si>
    <t>https://drive.google.com/open?id=1eOPF-RS8_yDvfOqt7aqiNdOs4Ho3vz0e</t>
  </si>
  <si>
    <t>carlos.briceno@pminorteperu.org</t>
  </si>
  <si>
    <t>CARLOS DANIEL BRICEÑO BURGOS</t>
  </si>
  <si>
    <t>PRESIDENTE ELECTO</t>
  </si>
  <si>
    <t>PMI NORTE PERÚ CHAPTER</t>
  </si>
  <si>
    <t>https://www.linkedin.com/in/carlos-daniel-briceno-burgos/</t>
  </si>
  <si>
    <t>PMP®, PMI-ACP®</t>
  </si>
  <si>
    <t>https://drive.google.com/open?id=1_eO2s-JMMSjYOOI8FiCDLIyjfCdRRBpt</t>
  </si>
  <si>
    <t>Título: La Arquitectura Empresarial en la Era de la Inteligencia Artificial | Organización: Colegio de Ingenieros del Perú - Consejo Departamental de Piura | Año: 2026 | Persona de referencia: [Esther Yolanda Lizana Puelles / +51939711112]
Título: De la Arquitectura Empresarial a la Dirección de Proyectos hay un solo paso | Organización: PMI Bolivia Chapter | Año: 2025 | Persona de referencia: [Diego Jhoan Delgadillo Moreira / +59168939070]
Título: Dominio III. Involucramiento de los Interesados | Organización: Sesión de Estudio para la Certificación PMI-ACP, organizada por 19 capítulos de Latinoamérica | Año: 2023 | Persona de referencia: [Tania Estefany Angeles Moncada / +51969507369 /tania.angeles@pminorteperu.org]
Título: Gestión del Alcance | Organización: Project Weekend 2023, PMI Norte Perú Chapter y Gestión de Proyectos UPAO (GPU) | Año: 2023 | Persona de referencia: [Luis Mariños / +51954098617 / Lmarinosm1@upao.edu.pe]
Título: Gestión de los Interesados | Organización: Grupo de Estudios para la Certificación CAPM, PMI Norte Perú Chapter | Año: 2021 | Persona de referencia: [Manuel Asmat Córdova / +51969620486]</t>
  </si>
  <si>
    <t>Durante los últimos 5 años he participado como expositor en diversos espacios de formación y difusión en Dirección de Proyectos, en el ámbito nacional e internacional. Dentro de PMI Norte Perú Chapter y una red de 19 capítulos de Latinoamérica, he dictado sesiones de estudio y webinars de preparación para las certificaciones CAPM y PMI-ACP, así como ponencias en eventos académicos como Project Weekend UPAO. En 2024 fui Subject Matter Expert de la Cumbre Nacional de Dirección de Proyectos Perú Proyectando, y en el último año amplié mi alcance internacional como expositor invitado del PMI Bolivia Chapter y del Colegio de Ingenieros del Perú - Consejo Departamental de Piura, abordando temas de arquitectura empresarial, inteligencia artificial y su vínculo con la dirección de proyectos. Esta experiencia se apoya en mi trayectoria profesional como Especialista de TI en gobierno digital y en más de 7 años de voluntariado activo en PMI Norte Perú Chapter, lo que me permite combinar rigor metodológico con aplicación práctica al presentar ante audiencias tanto técnicas como directivas.</t>
  </si>
  <si>
    <t>MAPA: DE LA ESTRUCTURA DEL DESGLOSE DEL TRABAJO A LA ESTRCUTURA DEL DESGLOSE DEL VALOR</t>
  </si>
  <si>
    <t>Comprender por qué una EDT bien construida no garantiza por sí sola que el proyecto genere el valor esperado.
Conocer la Estructura de Desglose del Valor (EDV) y su relación con la EDT.
Aplicar el framework MAPA (Mapear, Asociar, Priorizar, Ajustar) para vincular el valor esperado con los paquetes de trabajo del proyecto.
Usar la trazabilidad entre valor y trabajo para priorizar decisiones cuando hay restricciones de tiempo o presupuesto.</t>
  </si>
  <si>
    <t>La EDT organiza el trabajo, pero no garantiza que ese trabajo genere el valor esperado. Esta sesión presenta la Estructura de Desglose del Valor (EDV) y el framework MAPA (Mapear, Asociar, Priorizar, Ajustar) para conectar los beneficios del proyecto con los paquetes de trabajo de la EDT.
Metodología: Presentación del framework MAPA con ejemplos conceptuales.
Conclusión: el valor se gestiona con la misma rigurosidad con la que se gestiona el alcance.
Cuando esta sesión finalice, los participantes estarán aptos para identificar el valor esperado de su proyecto, vincularlo con su EDT y usarlo para priorizar decisiones.</t>
  </si>
  <si>
    <t>Se propone la Estructura de Desglose del Valor (EDV) como complemento de la EDT, junto con el framework MAPA para construirla y mantenerla vigente durante el proyecto. Es una propuesta propia que se apoya en los principios de gestión de beneficios. No requiere herramientas especiales.</t>
  </si>
  <si>
    <t>https://drive.google.com/open?id=1QCCTHo-pos48JN5qvXbse7HXAL9hYmZX</t>
  </si>
  <si>
    <t>irinacelly@hotmail.com</t>
  </si>
  <si>
    <t>PMO Director</t>
  </si>
  <si>
    <t>https://www.linkedin.com/in/irinacelly?utm_source=share_via&amp;utm_content=profile&amp;utm_medium=member_ios</t>
  </si>
  <si>
    <t>PMP®, PMO CP</t>
  </si>
  <si>
    <t>https://drive.google.com/open?id=1PJsuX_T0m-3amYCRe8luQoIWL4KFAHVB</t>
  </si>
  <si>
    <t>* Octubre 2026 · PMI Capítulo Venezuela y Sybven: “El proyecto que el comité aprueba: anatomía de un business case ejecutivo”.
* Agosto 2026 · PMI Latin America LIM, Lima: “Nadie construye el futuro solo: del capítulo al ecosistema”.
* Agosto 2026 · PMI Latin America LIM, Lima: “Activando el Impacto Social: Cómo los Capítulos Colaboran con PMIEF y PMWB”.
* Agosto 2026 · PMIEF, Lima: panel del 36.º aniversario con Junior Achievement.
* Julio 2026 · Texas Tech University, Costa Rica: “La nueva economía del talento”.
* Mayo 2026 · Tecnológico de Monterrey: “Ruta PMP® para directivos: de la experiencia a la certificación”.
* Febrero 2026 · ITESCAM / Red PMI de Educación: “NextGen PM: La habilidad del futuro”.
* Noviembre 2025 · PMI Guayas: “Más allá de la entrega: el éxito de los proyectos en Latinoamérica”.
* Noviembre 2025 · UISEK: conferencia sobre el futuro del Project Management.
* Octubre 2025 · Capítulo PMI República Dominicana: “El valor de la PMO”.
* Octubre 2025 · PMI Capítulo Asunción, Paraguay: “M.O.R.E. en la vida personal”.</t>
  </si>
  <si>
    <t>En los últimos cinco años he participado como conferencista, keynote speaker, moderadora y ponente de cierre en congresos, encuentros de PMI y espacios universitarios de Latinoamérica. He colaborado con capítulos PMI de Venezuela, República Dominicana, Paraguay, El Salvador, Bajío, Noreste México y Pacífico México, además de universidades como Texas Tech University Costa Rica, el Tecnológico de Monterrey, la Universidad de Monterrey (UDEM) y la University of Texas at San Antonio (UTSA). Mis intervenciones abordan liderazgo, valor de las PMO, futuro del talento, empleabilidad, certificaciones e impacto social. Combino experiencia ejecutiva, casos reales y diálogo con la audiencia para convertir cada participación en ideas aplicables.</t>
  </si>
  <si>
    <t>1. Cuestionar la promesa de valor de la IA: distinguir entre implementar tecnología, acelerar tareas y producir resultados relevantes para el negocio.
2. Conectar estrategia y ejecución: identificar las decisiones, responsables y evidencias que permiten convertir una iniciativa de IA en valor demostrable.</t>
  </si>
  <si>
    <t>La IA está presente en casi todas las conversaciones estratégicas, pero incorporarla no garantiza mejores resultados. Esta sesión examina la distancia entre prometer valor, acelerar tareas y generar beneficios reales para el negocio. A través de un caso ejecutivo y preguntas a la audiencia, exploraremos qué decisiones deben tomarse antes y durante la ejecución, quién responde por los beneficios y cómo comprobarlos. Al finalizar, los participantes podrán evaluar una iniciativa de IA más allá de su adopción: por el valor que logra demostrar.</t>
  </si>
  <si>
    <t>La sesión presentará una misma iniciativa de IA en tres momentos: cuando se promete su valor, cuando se pone en marcha y cuando llega el momento de demostrar resultados. En cada etapa, la audiencia tomará una decisión con la información disponible. Al revelar las consecuencias, haremos visible una brecha que suele quedar fuera de las presentaciones sobre IA: quién convierte la promesa en beneficios verificables y qué debe decidirse para lograrlo.</t>
  </si>
  <si>
    <t xml:space="preserve">Sesión en línea </t>
  </si>
  <si>
    <t>fabian@scrumnetwork.com</t>
  </si>
  <si>
    <t>Scrum Network / CEO</t>
  </si>
  <si>
    <t>https://www.scrumnetwork.com</t>
  </si>
  <si>
    <t>www.linkedin.com/in/fabianschwartz</t>
  </si>
  <si>
    <t>https://drive.google.com/open?id=1PA_3LEa2RehvVmqNMVe5k5uRuX4nhJ6J</t>
  </si>
  <si>
    <t>tengo mas de 100 conferencias como speaker, fue invitado a esta</t>
  </si>
  <si>
    <t xml:space="preserve">Agilidad + IA para una transformación inteligente </t>
  </si>
  <si>
    <t>1. Explicar cómo la agilidad y la inteligencia artificial complementan la gestión de proyectos para responder a la incertidumbre y al cambio.
2. Identificar oportunidades para acortar los ciclos de decisión, ejecución y aprendizaje, con foco en la entrega de valor y los resultados del negocio.
3. Reconocer qué tareas pueden delegarse a agentes de IA y qué objetivos, límites y verificaciones deben establecer las personas para mantener el control y la responsabilidad.
4. Relacionar la estrategia, la organización y el liderazgo del cambio con la adopción de inteligencia artificial en proyectos y procesos empresariales.</t>
  </si>
  <si>
    <t>- Agilidad e IA para mejorar la ejecución de proyectos y los resultados del negocio.
- Exposición visual con ejemplos y análisis de una prueba de concepto en una aseguradora.
- Introducción a VELO5 y FORGE para conectar estrategia, ejecución con IA y control humano.
- Al finalizar, los participantes podrán identificar oportunidades para mejorar la entrega de valor con IA.
- También podrán reconocer los criterios de delegación, verificación y liderazgo necesarios para su adopción.</t>
  </si>
  <si>
    <t>La propuesta integra la agilidad con la dirección de agentes de inteligencia artificial como una capacidad de la organización. Relaciona VELO5 y FORGE para mostrar cómo conectar las prioridades del negocio con la ejecución apoyada por IA, mediante objetivos claros, límites de delegación, verificación y aprendizaje continuo. Su aporte es explicar cómo convertir la velocidad de la IA en resultados verificables, manteniendo el criterio y la responsabilidad humanos e incorporando el liderazgo necesario para adoptar nuevas formas de trabajo.</t>
  </si>
  <si>
    <t>nada</t>
  </si>
  <si>
    <t>https://drive.google.com/open?id=1Kr5Ay_r63_k-cN_kcIQRu4O9wsN9APcd</t>
  </si>
  <si>
    <t>postgrado777@gmail.com</t>
  </si>
  <si>
    <t>Ivan Jose Mendoza Moya</t>
  </si>
  <si>
    <t>Polaris SRL / Director de PMO</t>
  </si>
  <si>
    <t xml:space="preserve">
Perfil Corporativo: Polaris SRL
Polaris SRL es una empresa de estructura sólida y diversificada con presencia en Bolivia y Chile, operando bajo dos divisiones estratégicas:
• División Comercial y Materiales Eléctricos: Con sede directiva en Cochabamba, se especializa en la importación, fabricación y comercialización de materiales eléctricos de alta calidad.
• División de Infraestructura Civil: Centralizada bajo una Oficina de Gestión de Proyectos (PMO) en Santa Cruz, esta división se dedica exclusivamente al desarrollo, construcción y mantenimiento de infraestructuras y edificaciones propias.
La empresa cuenta con un sólido portafolio de proyectos concluidos y en ejecución —que incluye edificios de departamentos, galerías comerciales y depósitos logísticos— distribuidos estratégicamente en Santiago/regiones de Chile, así como en las ciudades bolivianas de Santa Cruz, Cochabamba, Oruro, Montero y Quillacollo. Al autofinanciar y edificar sus propios activos, Polaris SRL garantiza los más altos estándares de calidad, plusvalía y mantenimiento a largo plazo en todo su patrimonio inmobiliario.</t>
  </si>
  <si>
    <t>www.linkedin.com/in/ijmendozam</t>
  </si>
  <si>
    <t>En proceso de certificacion en diciembre de 2026</t>
  </si>
  <si>
    <t>https://drive.google.com/open?id=1lB3unWHK6-1pPOxB79FXoF-u4vgJeRk5</t>
  </si>
  <si>
    <t>• “Genoma de equipos eficientes en la gestión de proyectos”, PMI Bolivia / UNIFRANZ, nov. 2025, Marco Arellano, +591 67701708
• “Ingeniería Humana: de la colisión a la colaboración”, PMI Bolivia / UCB, oct. 2025, Marco Arellano, +591 67701708
• “Plan de comunicaciones e interesados”, PMI Bolivia / UCB, sep. 2025, Marco Arellano, +591 67701708
• “Plan de comunicaciones e interesados”, PMI Bolivia / UPSA, may. 2025, Marco Arellano, +591 67701708
• “Gestión Documental en la Gestión de Proyectos”, PMI Bolivia TourLATAM 2024, nov. 2024, Marco Arellano, +591 67701708
• “Nuevas tecnologías en la ingeniería del conocimiento”, Universidad Autónoma Gabriel René Moreno, sep. 2023, Directora Shirley Perez, +591 70934360
• “Gestión de Proyectos”, PMI Bolivia, Cochabamba, 2021, Director Rene Fernandez, +591 72200265</t>
  </si>
  <si>
    <t>Seis presentaciones para PMI Bolivia entre 2021 y 2025, incluida TourLATAM 2024, sobre equipos de alto desempeño, comunicación con interesados, gestión documental y gestión de proyectos. Docencia universitaria de pregrado y posgrado desde 2021 en la UCB (Santa Cruz), la Universidad Complutense de Madrid (2024), Arizona State University / UAG (2021-2022), la Universidad César Vallejo (2022) y UNIVALLE (2016-2024). Dirección de las tres versiones de la Feria Tecnológica de UNIVALLE Santa Cruz (2022-2023). Formatos: charlas, talleres, cátedras y webinars.</t>
  </si>
  <si>
    <t>1. Distinguir el riesgo del proyecto del riesgo de la decisión e identificar dónde se ubica en el proceso de autorización.
2. Medir la divergencia entre quienes deciden con un índice replicable y estimar su costo como valor esperado.
3. Aplicar un protocolo de decisión para la puerta de selección y evaluar su efecto sobre la dispersión.
4. Incorporar un registro de riesgos de la decisión y una línea de divergencia en el informe de la PMO, reconociendo los límites de la IA como segunda opinión.</t>
  </si>
  <si>
    <t>Los informes de portafolio registran con rigor los riesgos del proyecto; casi ninguno registra los riesgos de la decisión que lo autoriza. Cuando los miembros de una misma dirección evalúan el mismo caso y responden distinto, se genera un costo real que no aparece en ningún reporte: proyectos aprobados que otro evaluador habría rechazado, y viceversa. La sesión parte de una dinámica en vivo: la audiencia evalúa un caso ficticio y se proyecta en tiempo real la divergencia de sus propias respuestas. Con ese dato se presenta un índice de divergencia, su cálculo y su conversión en valor esperado en dólares, junto con la evidencia sobre inconsistencia en el juicio profesional (Kahneman, Sibony y Sunstein, 2021). Luego se propone un protocolo de decisión para la puerta de selección, que se aplica en una segunda ronda para observar su efecto, y se discuten el papel y los límites de la inteligencia artificial como segunda opinión consistente. La charla entrega cuatro herramientas aplicables: auditoría de divergencia de una página, protocolo de decisión, escala de riesgo calibrada y un registro de riesgos de la decisión para el informe de la PMO.</t>
  </si>
  <si>
    <t>La propuesta desplaza el análisis de riesgos del proyecto hacia quienes deciden sobre él: plantea un registro de riesgos de la decisión, complementario al registro del proyecto. Es una sesión de medición y no solo de exposición: la audiencia genera su propio dato en vivo y se calcula en tiempo real un índice de divergencia, que se convierte en valor esperado en dólares para hacer visible el costo. Traslada a la selección de proyectos métodos de auditoría desarrollados en seguros y justicia (Kahneman, Sibony y Sunstein, 2021). Incorpora la inteligencia artificial con un criterio verificable: medir la variabilidad del modelo con el mismo índice que se aplica a las personas. Entrega artefactos listos para usar el lunes siguiente.</t>
  </si>
  <si>
    <t>https://drive.google.com/open?id=1xMjGWUVur-BM7lcD8RvHP4Yz0Mg0ADZY</t>
  </si>
  <si>
    <t>gustavo.conejo@pmicr.org</t>
  </si>
  <si>
    <t>PMI Costa Rica</t>
  </si>
  <si>
    <t>www.pmicr.org</t>
  </si>
  <si>
    <t>linkedin.com/in/gustavo-conejo-a57334124</t>
  </si>
  <si>
    <t>https://drive.google.com/open?id=1pTOq0lsNFqzYy54mpbslTacOCvoxz48P</t>
  </si>
  <si>
    <t>Gobierno Estratégico de T, 5B Guatemala, 2026, Liderzgo Ejecutivo, Banrural Guatemala, 2026, Business Acumen generando valor en la gestión de proyectos, PMI Venezuela, 2026, Panel especialistas: experiencias capítulos PMI, PMI Latam LIM Perú, 2026, Liderando Proyectos con IA:workshop, UCI Costa Rcia, 2025, Gstionando la Continuidad del Negocio, UCI, 2024, Gestión de Proyectos, ADEN Argentina, 2025, Gestión y Organización del Tiempo, AS Desarrollos Costa Rica, 2025</t>
  </si>
  <si>
    <t>Tengo más de 15 años de ser profesor universitario, y he brindado más de 25 charlas en los últimos 4 años, tanto virtuales como presenciales. He participado en seminarios, conferencias, workshops facilitando ponencias en diversos temas de Gestión de Proyectos, Intelligencia Artificial, Desarrollo Profesional, Continuidad del Negocio, Gestión de TI, Liderazgo, etc</t>
  </si>
  <si>
    <t>Comprender el concepto de Business Acumen y su importancia en la gestión de proyectos, Relacionar los proyectos con la estrategia y la generación de valor, Fortalecer la toma de decisiones desde una perspectiva de negocio, Evolucionar el rol del Project Manager hacia un liderazgo con visión empresarial</t>
  </si>
  <si>
    <t>La presentación aborda el Business Acumen aplicado a la gestión de proyectos como una evolución desde una visión centrada en cumplir alcance, cronograma y presupuesto hacia una gestión orientada a generar valor estratégico para el negocio. Plantea que todo proyecto debe entenderse como una inversión vinculada con la estrategia organizacional y que su éxito no termina con la entrega de productos, sino con la generación de resultados, beneficios y valor medible. Para ello, propone analizar los proyectos desde distintas dimensiones —estratégica, financiera, comercial, operacional, organizacional, tecnológica, de riesgos, interesados y beneficios— y mantener vigente el caso de negocio durante todo el ciclo de vida para decidir oportunamente si conviene continuar, ajustar o detener una iniciativa. Asimismo, destaca la necesidad de transformar el lenguaje y el rol del Project Manager, pasando del seguimiento operativo a un liderazgo empresarial capaz de comprender el negocio, tomar decisiones basadas en valor y conectar la ejecución de proyectos con los objetivos estratégicos de la organización.</t>
  </si>
  <si>
    <t>Es la aplicación del Business Acumen a la gestión de proyectos, proponiendo una evolución del enfoque tradicional centrado en alcance, tiempo y costo hacia una gestión orientada a la generación de valor estratégico. Se presentará un marco práctico para analizar cada proyecto como una inversión, conectándolo con la estrategia, el caso de negocio, los beneficios esperados, los riesgos y las capacidades organizacionales.</t>
  </si>
  <si>
    <t>https://drive.google.com/open?id=1WPLan0LRkhafwSEtdZ_PhLEuv1NjhZam</t>
  </si>
  <si>
    <t>cherrerasolera@gmail.com</t>
  </si>
  <si>
    <t>PMI Caribe / Universidad del Sinú seccional Cartagena</t>
  </si>
  <si>
    <t>https://pmicaribe.org/ y https://unisinucartagena.edu.co/</t>
  </si>
  <si>
    <t>https://www.linkedin.com/in/carolina-herrera-solera/</t>
  </si>
  <si>
    <t>PMP®, PMO Practitioner IPMA</t>
  </si>
  <si>
    <t>https://drive.google.com/open?id=1JMYhmnbYVLryunBsLrZE40alV0TwtzUr</t>
  </si>
  <si>
    <t xml:space="preserve">“Liderando y gestionando proyectos de IA” — Ministerio TIC y Canal Trece, encuentro realizado en Riohacha, 2026. Referencia: Andrés Enrique Galindo Bernal, subdirector de Industria TI, Ministerio TIC. Teléfono/correo: colombia5.0@mintic.gov.co
“Liderando y gestionando proyectos de IA” — Ministerio TIC y Canal Trece, encuentro realizado en Santa Marta, 2026. Referencia: Andrés Enrique Galindo Bernal, subdirector de Industria TI, Ministerio TIC. Teléfono/correo: colombia5.0@mintic.gov.co
Panelista: “Ingeniería inteligente: ciencia que transforma realidades”; tallerista: espacio Tarde de Investigadores — Fundación Universitaria del Área Andina, 2026. Referencia: Decanatura de la Facultad de Ingeniería y Ciencias Básicas. Teléfono/correo: bmora14@areandina.edu.co
Speaker en Sustainability Day Colombia 2026, sobre gestión sostenible de proyectos — Sustainability Day Colombia, 2026. Referencia: Marine Castañeda, Sustainability Champion LATAM. Teléfono/correo: marine.castaneda@pmivolunteer.pmi.org
 “Innovación en la Gestión de Residuos Grasos: Una Propuesta para la Heroica Cartagena de Indias” — Semana Científica Internacional, Universidad del Sinú, seccional Cartagena, 2025. Referencia: Universidad del Sinú. Contacto: investigacionindustrial@unisinucartagena.edu.co
“Desafíos y Oportunidades en la Industria 4.0: Innovación y Futuro en Ingeniería Industrial” — Webinar Internacional “Innovación y Futuro en Ingeniería Industrial”, Universidad Técnica Estatal de Quevedo, 2024. Contacto: carreraingindustrial@uteq.edu.ec
 “Gestión Sostenible de Aceite Usado en Entornos Urbanos” — I Congreso Internacional sobre el Cumplimiento de los ODS Ambientales, ACODAL Seccional Caribe, 2024. Contacto: acodalca2@gmail.com
“Aplicación de la ecohidrología y la tecnología en la planificación de soluciones basadas en la naturaleza para la gestión del agua en entornos urbanos: una revisión literaria” — Semana Científica Internacional, Universidad del Sinú, seccional Cartagena, 2024. Contacto: investigacionindustrial@unisinucartagena.edu.co
</t>
  </si>
  <si>
    <t>Durante los últimos cinco años, he participado como conferencista, ponente, panelista y tallerista en eventos académicos, profesionales y de innovación en Colombia y otros países de Latinoamérica. He compartido experiencias y conocimientos sobre dirección y formulación de proyectos, innovación, sostenibilidad, Industria 4.0 e inteligencia artificial. En 2026 me he presentado en Sustainability Day Colombia, la V Semana Internacional de la Ingeniería y Ciencias Básicas de Areandina y encuentros de MinTIC y Canal Trece en Riohacha y Santa Marta. También he participado como ponente en espacios de la Universidad del Sinú, ACODAL, la Universidad Técnica Estatal de Quevedo</t>
  </si>
  <si>
    <t>Identificar decisiones de proyecto donde la inteligencia artificial pueda generar valor medible.
Distinguir la madurez tecnológica de la preparación organizacional para adoptar y escalar una solución.
Diseñar una prueba piloto con usuario, línea base, métrica, criterio de avance y condición para ajustar o detener.</t>
  </si>
  <si>
    <t>A partir de casos documentados de NASA, Network Rail y una obra aeroportuaria, analizaremos cómo la IA puede cambiar decisiones concretas en los proyectos.
Conectaremos las prácticas M.O.R.E. del PMI con el modelo CIMA de mi investigación doctoral y la escala TRL, diferenciando preparación organizacional y madurez tecnológica.
Mediante una actividad virtual breve, cada participante trabajará sobre una decisión real de su proyecto.
Al finalizar, podrá formular una prueba piloto con datos necesarios, métrica de valor y criterios para avanzar, ajustar o detener.
La sesión combina presentación visual, interacción por chat y trabajo en salas virtuales.</t>
  </si>
  <si>
    <t>La sesión convierte marcos y conceptos en una herramienta práctica para decidir qué probar y cuándo escalar: conecta PMI M.O.R.E., el modelo CIMA de mi investigación doctoral y TRL mediante una tarjeta de decisión para diseñar pilotos.</t>
  </si>
  <si>
    <t>Para la sesión virtual se requiere uso del chat y salas pequeñas para un ejercicio breve. Si las salas no están disponibles, la actividad puede realizarse individualmente en el chat.</t>
  </si>
  <si>
    <t>https://drive.google.com/open?id=1-eok0jFWQ1AGVcXv_wiA_0BB6y6ewEon</t>
  </si>
  <si>
    <t>nathalie.f.altez@gmail.com</t>
  </si>
  <si>
    <t>Falabella tecnologia Corporativa / Service Delivery Manager</t>
  </si>
  <si>
    <t xml:space="preserve">https://www.falabella.com/falabella-cl </t>
  </si>
  <si>
    <t>https://drive.google.com/open?id=14fBEDfx7iOdvqcs_QTHr94ztvL29gKLe</t>
  </si>
  <si>
    <t>Título: Ser mujer es tu Power Skill
Organización: IEEE Women in Engineering (WIE) Paraguay
Año: 2026
Título: El proyecto termina. El impacto permanece: Sostenibilidad e Impacto Social en la nueva era del PMBOK®
Organización: PMI Santiago Chile Chapter, Congreso Virtual Internacional PMBOK® 7 → 8
Año: 2026
Título: PMO consciente: Neurociencia para gestionar el cambio y las personas
Organización: PMI Santiago Chile Chapter y Proyectum Chile, PMO Day Chile 2025
Año: 2025
Título: PMO con propósito: transformación en las personas y el valor
Organización: PMI Santiago Chile Chapter, ciclo de webinars precongreso PMO Day
Año: 2025
Título: PMO Evolutiva: de la ejecución a la estrategia
Organización: PMI Santiago Chile Chapter, ciclo de webinars precongreso PMO Day
Año: 2025</t>
  </si>
  <si>
    <t>En los últimos años me he consolidado como expositora en el ecosistema de gestión de proyectos de Latinoamérica. He participado en congresos, conferencias, webinars y encuentros de mentoría en Chile y en el extranjero. Mi propuesta integra la dirección de proyectos y la gestión de PMO con la neurociencia aplicada al cambio y a las habilidades interpersonales, el liderazgo humano y la sostenibilidad con impacto social, siempre con una mirada práctica que pone a las personas en el centro. He sido expositora internacional en el Congreso Virtual PMI Chile 2026 sobre la evolución del PMBOK® 7 al 8, y conferencista en el PMO Day Chile 2025, encuentro que además lideré como organizadora. También dicté un ciclo de webinars sobre el rol estratégico de la PMO y fui mentora invitada por IEEE Women in Engineering Paraguay. Como Vicepresidenta de Programas Especiales del PMI Santiago Chile Chapter, fui entrevistada en el PMI Global Summit 2025 para la serie Voices of PMI. Mis más de 14 años como profesora de tecnología me han dado un estilo cercano, reflexivo y participativo, que conecta el conocimiento técnico con el propósito y la transformación de las personas.</t>
  </si>
  <si>
    <t xml:space="preserve">
a) Comprender cómo la neurociencia explica la respuesta de las personas frente al cambio y la resistencia en los procesos de transformación organizacional.
b)Identificar las power skills clave (empatía, comunicación, colaboración, adaptabilidad y pensamiento crítico) que una PMO debe desarrollar para pasar del control al impulso.
c)Aplicar el concepto flywheel a la PMO, para diseñar una gobernanza estratégica que genere momentum y entregue valor de forma sostenida.
d)Reconocer prácticas concretas para transformar la PMO en un motor estratégico centrado en las personas.</t>
  </si>
  <si>
    <t>La sesión propone evolucionar la PMO tradicional hacia una PMO Consciente, que integra gobernanza estratégica, neurociencia y power skills como un flywheel de transformación. Se abordarán tres ideas: cómo reacciona el cerebro ante el cambio, qué habilidades humanas sostienen la adopción, y cómo construir un ciclo virtuoso donde cada logro impulsa el siguiente. La metodología combina una presentación dinámica, casos reales de la industria y dinámicas interactivas con la audiencia. Cuando esta sesión finalice, los participantes estarán aptos para diseñar una PMO que gobierne con propósito, gestione el cambio desde la comprensión humana y genere valor sostenido en sus organizaciones.</t>
  </si>
  <si>
    <t>La sesión presenta el modelo PMO Consciente Flywheel, un enfoque que une tres disciplinas que normalmente se trabajan por separado: la gobernanza de proyectos, la neurociencia aplicada al cambio y las power skills. El modelo propone un ciclo virtuoso en el que la seguridad psicológica genera confianza, la confianza habilita la colaboración, la colaboración acelera la entrega de valor y cada resultado refuerza el compromiso de los equipos. Así, la PMO deja de ser un ente de control y se convierte en el motor que mantiene en movimiento la transformación organizacional.</t>
  </si>
  <si>
    <t>no hay peticiones especiales</t>
  </si>
  <si>
    <t>https://drive.google.com/open?id=1mdqOSKVFn8OQVL4QH913QUpwpH2HdE01</t>
  </si>
  <si>
    <t>luisgtz2@gmail.com</t>
  </si>
  <si>
    <t>Dolby / Sr. Operations Manager</t>
  </si>
  <si>
    <t>www.dolby.com</t>
  </si>
  <si>
    <t>www.linkedin.com/in/luis-gutierrez-324b001a</t>
  </si>
  <si>
    <t>PMP®, Prosci® Certified Change Practitioner</t>
  </si>
  <si>
    <t>https://drive.google.com/open?id=17X4V_znSj8dlVOi2U90253lsL4Of_SQf</t>
  </si>
  <si>
    <t>Tech Week, AI Panelist in Wroclaw, Poland</t>
  </si>
  <si>
    <t>Que los participantes aprendan a diferenciar entre entregables (outputs) y resultados (outcomes), comprendan por qué esta distinción es esencial para evaluar el éxito de una iniciativa y conozcan cómo aplicarla mediante un modelo operativo orientado a resultados medibles.</t>
  </si>
  <si>
    <t xml:space="preserve">1.Distinguir entre entregar y generar valor.
2.Definir el éxito antes de iniciar. 
3. Extender la responsabilidad más allá del lanzamiento.
4. Invertir de forma incremental y con evidencia. </t>
  </si>
  <si>
    <t>La propuesta presenta un modelo operativo que convierte los resultados esperados en criterios para evaluar, priorizar y gestionar iniciativas. Integra métricas de éxito definidas antes de iniciar, responsables de los resultados más allá del lanzamiento e inversión incremental por fases, con decisiones basadas en evidencia para continuar, ajustar, escalar o detener cada iniciativa.</t>
  </si>
  <si>
    <t>none</t>
  </si>
  <si>
    <t>https://drive.google.com/open?id=11O3aLjEJjaKP9Q3opPPJlBfbUGk7cjaw</t>
  </si>
  <si>
    <t>gabriela@gutierrezcoaching.com</t>
  </si>
  <si>
    <t>Gutierrez Coaching &amp; Training LLC / Conferencista Internacional y Consultora</t>
  </si>
  <si>
    <t>www.linkedin.com/in/gabrielagutierrez</t>
  </si>
  <si>
    <t>https://drive.google.com/open?id=1I2EOCJ6qy1r6soXfOt7Ezctasy9e1itn</t>
  </si>
  <si>
    <t>•	PMI Washington, DC (PMIWDC) Annual Conference 2026 – Conferencia Magistral de Cierre: “Leading What’s Next: Leadership That Powers Innovation” – Oct. 2026
•	PMI Fort Worth 2026 Professional Development Conference – Conferencia Magistral de Cierre: “The Power of Connection: How Project Leaders Connect People, Purpose, and Performance” – Ago. 2026
•	PMI LATAM Conference 2026 – “El Liderazgo Dentro de M.O.R.E.: Cómo Elevar Personas y Proyectos” – Ago. 2026
•	PMI Houston Chapter – Galleria Venue – “The Leadership Side of Stakeholder Engagement” – May. 2026
•	PMI Clear Lake/Galveston Chapter – “The 3 Dimensions of Project Influence | How to Influence With or Without Authority” – Abr. 2026
•	PMI Austin Chapter – “4 Laws of Leadership for Project Management and Beyond” – Abr. 2026
•	PMI Houston Chapter – Energy Corridor Venue – “4 Laws of Leadership for Project Management and Beyond” – Ene. 2026
•	PMI México – 5 capítulos del PMI – “Comunica y Conecta | Estrategias de Comunicación para Profesionales de Proyectos” – Dic. 2025
•	PMI California Central Valley 2025 Annual Conference – “Project Managers as People of Influence | Insights to Elevate Your Influencing Skills” – Oct. 2025
•	PMI Houston Chapter 2025 Annual Conference – “Good Project Managers Communicate, Great Ones Connect” – Aug. 2025
•	PMI Houston Chapter – North Venue – “Project Managers as People of Influence: Insights to Elevate your Influencing Skills” – Jun. 2025
•	Múltiples conferencias y talleres de Liderazgo, Comunicación e Influencia, impartidos desde 2019 en universidades y empresas, incluyendo California State University, Jorgensen, Beacon Mobility y Scotiabank, entre otras.
•	Decenas de talleres de capacitación de 1 semana de duración, impartidos 1 vez al mes durante 5 años en Scotiabank Canadá, Estados Unidos y Latinoamérica, centrados en Gobernanza y Documentación de Procesos de Negocio.
•	Decenas de talleres de capacitación impartidos durante 18 meses para la empresa estadounidense de transporte Beacon Mobility, centrados en Gestión de Proyectos y Metodologías Lean Six Sigma.
REFERENCIAS:
•	Carlos Salamanca: +1-832-419-1328 (Habla español)
(PMI Houston Chapter – VP of Programs) https://www.linkedin.com/in/casalamanca/
•	 Iwona Wilson – +1-404-432-6417 
(PMI Corpus Christi Chapter – Past President) https://www.linkedin.com/in/iwona-wilson/
•	Samone Fontenot: +1-210-842-9667 (PMI Houston Chapter - Sponsorship Outreach Manager) https://www.linkedin.com/in/samonefontenot/</t>
  </si>
  <si>
    <t>Conferencista Internacional con experiencia en más de 12 capítulos del PMI y grandes congresos internacionales de Project Management, incluyendo recientes participaciones como Conferencista Magistral de Cierre en grandes conferencias PMI como PMI Washington, D.C. y PMI Fort Worth. Su trayectoria también incluye cientos de horas impartiendo talleres y capacitaciones para empresas y universidades en Norteamérica y Latinoamérica, contribuyendo al desarrollo de más de 2,600 profesionales y líderes.</t>
  </si>
  <si>
    <t>1.	Analizar la evolución de la Gestión de Involucrados reflejada en la Guía del PMBOK® del PMI y lo que revela sobre el rol de los líderes de proyectos.
2.	Reconocer los desafíos que impactan la Gestión de Involucrados a lo largo del ciclo de vida de los proyectos.
3.	Aplicar prácticas de alto liderazgo para elevar la Gestión de Involucrados y contribuir al éxito de sus proyectos.</t>
  </si>
  <si>
    <t xml:space="preserve">La Gestión de Involucrados (Stakeholder Management) ha evolucionado de identificar personas y gestionar expectativas a involucrarlas activamente. Una evolución reflejada tanto en la Guía del PMBOK® del PMI como en la práctica cotidiana de la Dirección de Proyectos, que evidencia el papel cada vez más estratégico de los profesionales de proyectos.
A través de historias, ejemplos prácticos y reflexiones, los participantes analizarán esta evolución y los desafíos que enfrentan los líderes de proyectos para lograr un verdadero involucramiento de las personas.
Al finalizar, se llevarán una perspectiva fresca y estarán preparados para aplicar prácticas de alto liderazgo que les permitan elevar la Gestión de Involucrados en sus propios proyectos y amplificar su impacto.
</t>
  </si>
  <si>
    <t xml:space="preserve">La sesión presenta un análisis de cómo ha evolucionado la Gestión de Involucrados a lo largo de varias décadas dentro de la Guía del PMBOK® del PMI y en el mundo real de Dirección de Proyectos. También incluye reflexiones y prácticas de liderazgo que nacen de experiencias, aprendizajes y lecciones de Dirección de Proyectos a nivel internacional en 7 ciudades y 4 países.
Su enfoque diferenciador consiste en conectar esta evolución con los desafíos reales que enfrentan los líderes de proyectos y ofrecer prácticas de alto liderazgo que los participantes puedan llevar a la acción desde el primer día para elevar la Gestión de Involucrados en sus propios proyectos.
</t>
  </si>
  <si>
    <t>Cuenten conmigo para dar visibilidad a su congreso en LinkedIn e Instagram, y cualquier apoyo que necesiten de mi parte. 
¡Sería un gusto ser parte los Conferencistas Internacionales dentro de Tour Latam Bolivia 2026!
•	LinkedIn: www.linkedin.com/in/gabrielagutierrez
•	Instagram: @thegabrielagutierrez | www.instagram.com/thegabrielagutierrez/</t>
  </si>
  <si>
    <t>https://drive.google.com/open?id=1lqVBKX5Pycrn8gYDlLvyfakahoq0BWUM</t>
  </si>
  <si>
    <t>Consultor Senior y Docente Universitario (UMA / UCAB)</t>
  </si>
  <si>
    <t>https://www.uma.edu.ve   y   https://www.ucab.edu.ve</t>
  </si>
  <si>
    <t>Licenciada en Administración de Empresas (UNESR), Especialista en Desarrollo Organizacional (UCAB), T.S.U. en Administración (ISUM), candidata a Magíster en Gerencia Empresarial (UCV) y Diplomada en Componente Docente 2.0 (USB). Con acreditaciones internacionales: Project Management Professional (PMP®), Six Sigma Black Belt (SSBB), PRINCE2® Foundation, Scrum Master, OKR Certified Professional (OKRCP), Scrum Master y Auditor Líder ISO 9000. Con más de 26 años de trayectoria profesional continua y más de 120 proyectos liderados, amplia experiencia en la dirección de portafolios estratégicos (PMO), reingeniería de procesos de negocio, agilidad organizacional, gestión del cambio y sistemas de gestión de la calidad en sectores de banca, entretenimiento, consumo masivo, salud y consultoría internacional en Venezuela, Panamá, Colombia, Ecuador, España y EE. UU. Consultora Senior y Facilitadora, ejerció roles ejecutivos como Gerente de Portafolio de Proyectos Estratégicos (PMO) y Gerente de Procesos y Calidad. En el ámbito académico y de educación ejecutiva, se desempeña como docente y diseñadora de contenidos para la Universidad Monteávila y Universidad Católica Andrés Bello, en postgrados de Proyectos, programas para ADEN University (Panamá), Universidad Casa Grande (Ecuador) e IESA (Venezuela) en áreas de agilidad (Scrum, Kanban, Lean), excelencia operativa y modelos de negocio.
Con líneas de investigación aplicada en la Oficina de Gestión de Proyectos (PMO) en entornos de I+D+i, la vinculación entre innovación y comercialización, y la integración de la filosofía Lean para la generación de valor en proyectos. Conferencista e investigadora, participando en cumbres y congresos internacionales del PMI y eventos académicos regionales, impactando a una audiencia acumulada de más de 20.000 profesionales. Además, con voluntariado profesional desde el 2004, ha servido al PMI Capítulo Venezuela como Directora del Proyecto Congreso 30.º Aniversario, y Miembro del Board del Capítulo en los roles de Directora de Administración y Secretaría, y Directora de Educación.
Distinción de 2ndo lugar en la categoría de Ponencias Técnicas, en las 1eras Jornadas Técnicas INDESCA (mayo de 2025) por el trabajo de investigación en coautoría: “Desvinculación entre investigación, desarrollo e innovación, y la comercialización”.</t>
  </si>
  <si>
    <t>linkedin.com/in/nelia-ponte</t>
  </si>
  <si>
    <t>https://drive.google.com/open?id=1SF9UIb84KL2vMINiGgM0Q4YuoXQk3aCJ</t>
  </si>
  <si>
    <t>1) La Oficina de Proyectos (PMO) como ente articulador y medio para permear silos en organizaciones de I+D+i en entornos VICA2. Organización: XXV Aniversario AVEGID-AIGID / Universidad Central de Venezuela (UCV). Año: 2026 (julio). Referencia: Comité Académico AVEGID-AIGID / UCV.
2) Título: Más Allá de la Eficiencia: Lean Desbloquea el Valor Exponencial en Proyectos
Organización: XVI Congreso Internacional de Gerencia de Proyectos, PMI Capítulo Venezuela. Año: 2025 (octubre). Referencia: Junta Directiva / Comité Académico PMI Capítulo Venezuela.
3) Título: Desvinculación entre investigación, desarrollo e innovación, y la comercialización
Organización: Primeras Jornadas Técnicas INDESCA. Año: 2025 (mayo). Referencia: Comité Evaluador de Jornadas Técnicas INDESCA.
4) Título: El PMI Capítulo Venezuela: impulsando la excelencia en la gestión de proyectos
Organización: XXIV Aniversario AVEGID-AIGID / UCV (Foro Humanización IA). Año: 2025 (enero). Referencia: AVEGID-AIGID / UCV.
5) Título: Lean Six Sigma para Ahorrar Costos en Organizaciones y Proyectos
Organización: Webinar Internacional PITS Soluciones &amp; PMI Capítulo Venezuela. Año: 2024 (noviembre). Referencia: PITS Soluciones / PMI Capítulo Venezuela.
6) Título: Transformación Ágil Organizacional: Un cambio imperativo. Organización: PM Summit 2022, PMI Capítulo Guatemala. Año: 2022. Referencia: Comité Organizador PM Summit, PMI Capítulo Guatemala.
7) Título: Foros "Mujeres en el Project Management" y "Empoderamiento Femenino: Mujeres que inspiran". Organización: PMI Capítulo Norte Perú. Año: 2021–2022. Referencia: Comité Organizador, PMI Capítulo Norte Perú</t>
  </si>
  <si>
    <t>Durante el período 2021–2026, la experiencia como expositora se ha caracterizado por una destacada y continua presencia internacional en congresos y cumbres profesionales del Project Management Institute (incluyendo los Capítulos de Venezuela, Guatemala y Norte Perú), eventos académicos universitarios (UMA, UCAB y UCV) y jornadas técnicas de investigación (INDESCA, AVEGID-AIGID, PITS, Kairós). La labor divulgativa abarca conferencias magistrales ante audiencias masivas, webinars regionales y ponencias científicas aplicadas en temas clave como la gobernanza de Oficinas de Gestión de Proyectos (PMO), la integración de Lean Six Sigma, la agilidad organizacional y la articulación estratégica entre investigación, desarrollo y comercialización. Esta trayectoria combina rigor metodológico, enfoque práctico en la solución de problemas complejos y una capacidad demostrada para conectar con audiencias ejecutivas, académicas y profesionales en Latinoamérica.</t>
  </si>
  <si>
    <t>Más allá de la eficiencia: el Diamante PONTE para liderar proyectos que crean valor.</t>
  </si>
  <si>
    <t xml:space="preserve">Objetivo principal: Presentar el Diamante PONTE como un marco práctico para ampliar la definición de éxito de los proyectos y conectar excelencia en la ejecución con creación de valor, resultados estratégicos y capacidad organizacional sostenible.
A. Cuestionar la suficiencia de la triple restricción tradicional (tiempo, costo y alcance) como criterio único de evaluación del éxito en la dirección de proyectos contemporánea.
B. Comprender la arquitectura de las cuatro dimensiones interdependientes del modelo Diamante PONTE: eficiencia de entrega, valor para stakeholders, resultado de negocio y capacidad sostenible.
C. Mostrar cómo diagnosticar brechas de valor e identificar la dimensión limitante que compromete el impacto integral de un proyecto en ejecución o cierre.
D. Explicar cómo la filosofía y herramientas de Lean Management actúan como mecanismos de intervención sociotécnica para desbloquear el flujo, acelerar el aprendizaje y consolidar capacidad organizacional duradera.
E. Proporcionar un marco de preguntas clave y herramientas de gobernanza para la transferencia y aplicación práctica inmediata en sus organizaciones desde el día siguiente a la sesión.
</t>
  </si>
  <si>
    <t xml:space="preserve">Ideas principales: La conferencia propone superar la visión tradicional de éxito (cumplir el plan) introduciendo el Diamante PONTE, un modelo multidimensional que evalúa si el proyecto entregó con eficiencia, resolvió un problema real para los stakeholders, modificó un resultado de negocio clave y dejó capacidad organizacional sostenible.
Metodología: Exposición basada en 1) cuestionamiento inicial (una ejecución correcta no garantiza por sí sola que el proyecto haya generado valor, producido resultados relevantes o fortalecido la capacidad de la organización); 2) revisión de evidencia (sobre la evolución de los criterios de éxito en gestión de proyectos y principios Lean); 3) presentación teórica del modelo (propone cuatro dimensiones interdependientes: eficiencia de entrega, valor para stakeholders, resultado de negocio y capacidad sostenible); 4) caso de estudio aplicado (donde se demuestra la transformación) y 5) dinámica de transferencia diagnóstica (con preguntas guías).
Conclusiones: Cuando esta sesión finalice, los participantes estarán en capacidad de evaluar la salud integral de sus proyectos mediante cuatro preguntas fundamentales: ¿entregamos bien?, ¿resolvimos algo que importa?, ¿cambió un resultado relevante? y ¿dejamos capacidad para volver a crear valor? Además, podrán identificar la dimensión limitante que compromete el valor y aplicar principios Lean para asegurar beneficios sostenibles en el tiempo.
</t>
  </si>
  <si>
    <t>La propuesta introduce el Diamante PONTE de Valor en Proyectos, un marco conceptual inédito formulado por la autora que desplaza el foco tradicional centrado en outputs (entregables) hacia la creación de outcomes (resultados relevantes) y capacidad residual instalada. Asimismo, incorpora el Principio de la Dimensión Limitante, una herramienta diagnóstica innovadora que permite identificar cómo la debilidad en cualquiera de las cuatro dimensiones del diamante compromete de forma sistémica el valor total y la sostenibilidad del proyecto.</t>
  </si>
  <si>
    <t>Sin solicitudes especiales.</t>
  </si>
  <si>
    <t>https://drive.google.com/open?id=1vHJC0fVCcXoKBDleQax7m9VI5wOd0Y0c</t>
  </si>
  <si>
    <t xml:space="preserve">Presidente del PMI Bajío México Chapter </t>
  </si>
  <si>
    <t>https://pmibajio.org.mx/</t>
  </si>
  <si>
    <t>https://www.linkedin.com/in/antonio-maturano-pmp</t>
  </si>
  <si>
    <t>https://drive.google.com/open?id=1OnzUE8BOkfndBfTYNjw6QIz2pvWHKrfK</t>
  </si>
  <si>
    <t>Durante los últimos cinco años, Antonio Maturano Huerta ha participado como conferencista, ponente y facilitador en congresos internacionales, seminarios, webinars y programas de formación profesional en México y América Latina. Ha colaborado con comunidades del Project Management Institute (PMI), incluyendo PMI Bogotá y PMI Lima, así como con instituciones académicas como el Tecnológico de Monterrey y la Universidad Anáhuac. Sus presentaciones se centran en dirección de proyectos, liderazgo, evolución de las PMO, desarrollo de Power Skills, comunicación, innovación y generación de valor organizacional. Asimismo, diseña e imparte talleres vivenciales utilizando la metodología LEGO® SERIOUS PLAY® para fomentar la creatividad, la reflexión estratégica, la colaboración y el desarrollo de equipos. Su experiencia como expositor combina conocimientos técnicos, experiencia profesional y metodologías participativas orientadas a generar aprendizajes aplicables al entorno laboral.</t>
  </si>
  <si>
    <t>Presentaciones previas / Referencias (últimos 5 años)
1. Título: ¿Tu proyecto fue exitoso… o simplemente terminó? M.O.R.E.
   Organización: PMI Bogotá, XIII Congreso de Dirección de Proyectos.
   Año: 2026.
   Persona de referencia: Comité organizador de PMI Bogotá.
2. Título: Manejo de audiencias y facilitación.
   Organización: PMI Lima, Formación de Formadores (FDF), sesión 3.
   Año: 2026.
   Persona de referencia: Vanesa y Moisés, equipo organizador de FDF.
3. Título: El DNA del Liderazgo con LEGO® SERIOUS PLAY®.
   Organización: 8.º Congreso Internacional de Gestión de Proyectos PMI Bajío, Universidad Anáhuac Querétaro.
   Año: 2026.
   Persona de referencia: Comité organizador de PMI Bajío México Chapter.
4. Título: Conferencias y talleres sobre liderazgo, gestión de proyectos y desarrollo de equipos mediante LEGO® SERIOUS PLAY®.
   Organización: Tecnológico de Monterrey y Universidad Anáhuac.
   Año: 2021–2026.
   Persona de referencia: Coordinaciones académicas de las instituciones.
5. Título: Conferencias y actividades de desarrollo profesional en dirección de proyectos, liderazgo y Power Skills.
   Organización: PMI Bajío México Chapter y comunidades internacionales del Project Management Institute.
   Año: 2021–2026.
   Persona de referencia: Mesas directivas y comités organizadores de los capítulos participantes, incluyendo PMI Bogotá (Colombia), PMI Lima (Perú), PMI Asunción (Paraguay) y participaciones en congresos internacionales, incluido Bolivia.
6. Título: Webinar sobre gestión de proyectos, liderazgo y desarrollo de competencias profesionales.
   Organización: PMI Asunción, Paraguay.
   Año: 2025.
   Persona de referencia: Comité organizador de PMI Asunción.</t>
  </si>
  <si>
    <t>1. Explicar el impacto de la seguridad psicológica en la capacidad innovadora de los equipos.
2. Mostrar cómo el liderazgo y la facilitación pueden crear entornos de confianza con alta exigencia.
3. Entregar prácticas aplicables para promover aprendizaje, participación e innovación sin perder orden ni foco.</t>
  </si>
  <si>
    <t>Se expondrá CREAR, una metodología práctica para impulsar innovación con seguridad psicológica, sin perder foco ni disciplina. Su valor innovador está en convertir un concepto cultural en una secuencia simple y aplicable de liderazgo y facilitación. C: Construir confianza para reducir el miedo a participar; R: Reconocer bloqueos culturales y conversacionales; E: Escuchar y explorar ideas con apertura; A: Aterrizar propuestas en decisiones y acciones concretas; R: Reforzar el aprendizaje, la accountability y la mejora continua.
Este es un modelo que se presentará con ejemplos reales, reflexión guiada e interacción con la audiencia, para mostrar cómo transformar conversaciones seguras en innovación con resultados.</t>
  </si>
  <si>
    <t>https://drive.google.com/open?id=1ZYRYajYGeIBQYtDOWwEczKzhuegnavGx</t>
  </si>
  <si>
    <t>PMC-BOLIVIA</t>
  </si>
  <si>
    <t>www.linkedin.com/in/oscar-siles-chavez</t>
  </si>
  <si>
    <t>https://drive.google.com/open?id=1hOxzN87A6-wsTLpIzds_1ZwgwkYfqu1E</t>
  </si>
  <si>
    <t xml:space="preserve">•	Universidad Católica de Bolivia (UCB): Conferencia - Análisis y perspectivas de la transición Energética con Hidrógeno verde para Bolivia – santa Cruz, septiembre 2026
•	Foro Energía 360 – 2026 (organizado por SIB Nal. Y CIP Santa Cruz)
Speaker en ciclo de conferencias – MODELO PARA DETERMINAR LA VIABILIDAD ECONÓMICA DE BLENDING GAS NATURAL-HIDRÓGENO EN PLANTAS DE ENERGÍA DE CICLO COMBINADO EN BOLIVIA – Santa Cruz, julio 2026.
•	Universidad Tecnológica Boliviana (UTB) – Seminario: Crisis del Suministro de Combustible: Desafíos y Oportunidades para el Futuro del Sector Energético.
Speaker en ciclo de conferencias - ANÁLISIS Y PERSPECTIVAS DE LA TRANSICIÓN ENERGÉTICA CON HIDRÓGENO VERDE PARA BOLIVIA, La Paz, abril 2026
•	Foro Internacional de Hidrogeno Verde (Gobernación de Oruro)
Speaker en ciclo de conferencias - ALTERNATIVAS DE CONFIGURACIÓN ÓPTIMA DEL SUMINISTRO ELÉCTRICO PARA PRODUCCIÓN DE H2V EN ORURO, Oruro, marzo 2026
•	Foro CIEEB (Colegio de Ingenieros Eléctricos y Electrónicos de Bolivia)
Speaker en ciclo de conferencias – ANÁLISIS DE LA HOJA DE RUTA DEL HIDROGENO VERDE DE BOLIVIA Y VISIÓN PROSPECTIVA – Santa Cruz, octubre 2025
•	Foro Energía 360 – 2025 (organizado por SIB Nal. Y CIP Santa Cruz)
Speaker en ciclo de conferencias – PRODUCCIÓN DE HIDRÓGENO VERDE EN ALTURA: CASO BOLIVIA – Santa Cruz, septiembre 2025
•	Universidad UPB – Unidad Post grado (Diplomado en Litio, Hidrógeno Verde, Almacenamiento de Energía y Recursos Evaporíticos v2025)
Docente: - TECNOLOGÍA, CADENA DE PRODUCCIÓN Y MERCADO DE HIDRÓGENO VERDE – agosto 2025.
•	AEE Guatemala Chapter
Speaker: MODELAMIENTO DE COSTO DE PRODUCCIÓN DE HIDRÓGENO VERDE, julio 2025
•	Feria de Energía FINERGY 2025
Speaker en ciclo de conferencias – MODELAMIENTO DEL COSTO DE PRODUCCIÓN DE HIDRÓGENO VERDE – Santa Cruz, junio 2025
•	Cumbre Energética Bolivia 2025 (SIB Nacional)
Speaker: ANÁLISIS Y PERSPECTIVAS DE LA TRANSICIÓN ENERGÉTICA CON HIDRÓGENO VERDE PARA BOLIVIA, mayo 2025
•	Hablan los Ingenieros (República Dominicana)
Speaker: MODELAMIENTO DEL COSTO DE PRODUCCIÓN DE HIDRÓGENO VERDE, mayo 2025
•	SPE GAIA (Society of Petroleum Engineers - Sustainability Program)
Speaker: MODELAMIENTO PARA DETERMINAR EL COSTO NIVELADO DE PRODUCCIÓN DE HIDRÓGENO VERDE (LCOH) Y ANÁLISIS DE VIABILIDAD ECONÓMICA, abril 2025
•	Universidad IUSUR Uruguay
Speaker: MODELO H2CEM Y VIABILIDAD ECONÓMICA DEL HIDRÓGENO VERDE PARA BOLIVIA, abril 2025
•	Universidad UTEPSA: Speaker: “MODELO H2CEM Y VIABILIDAD ECONOMICA DEL HIDROGENO VERDE”, Santa Cruz, febrero 2025.
•	Universidad UPSA – Evento proyecto MOISES (Modelo Inteligente para un Sistema Energético Sostenible en Bolivia)
Speaker: MODELAMIENTO PARA DETERMINAR EL COSTO NIVELADO DE PRODUCCIÓN DE HIDRÓGENO VERDE (LCOH) Y ANÁLISIS DE VIABILIDAD ECONÓMICA, diciembre 2024
•	Congreso Internacional de Ingeniería del Transporte COINT 2024.
Panelista: “ENERGIAS ALTERNATIVAS EN LA TRANSICIÓN ENERGETICA PARA DESCARBONIZAR EL TRANSPORTE”, Santa Cruz, agosto 2024
•	Universidad UAGRM (Escuela de Post grado de Ingeniería).
Speaker: “DESCARBONIZACIÓN DE LA ECONOMÍA DE BOLIVIA”, Santa Cruz, agosto 2024
•	2do Encuentro Nacional de Economistas – Un dialogo propositivo por Bolivia.
Panelista: MODELO PARA DESCARBONIZAR LA ECONOMIA DE BOLIVIA, Santa Cruz, agosto 2024
•	Universidad San Francisco Xavier de Chuquisaca (USFXCH Sucre) – 1er Congreso Internacional Energético:
Speaker: MODELO PARA EL DESARROLLO ESTRATÉGICO DE HIDRÓGENO VERDE EN BOLIVIA, junio 2024
•	Feria de Energía FINERGY 2024
Moderador: FORO ENERGÉTICO FINERGY 2024 “IMPULSANDO LA TRANSICIÓN ENERGÉTICA EN BOLIVIA DESDE EL SECTOR ELÉCTRICO” – Santa Cruz, mayo 2024
•	Feria de Energía FINERGY 2024
Speaker en ciclo de conferencias – LA INGENIERÍA DE COSTOS PARA ALCANZAR UN “LCOH” COMPETITIVO PARA EL HIDRÓGENO DE BAJAS EMISIONES EN LA TRANSICIÓN ENERGÉTICA – Santa Cruz, mayo 2024
•	CIEEC (Colegio de Ingenieros Eléctricos y Electrónicos de Cochabamba)
Speaker en ciclo de conferencias – LA INGENIERÍA DE COSTOS PARA ALCANZAR UN “LCOH” COMPETITIVO PARA EL HIDRÓGENO DE BAJAS EMISIONES EN LA TRANSICIÓN ENERGÉTICA – Santa Cruz, mayo 2024
•	AACE BOLIVIA SECTION
Speaker: GESTIÓN DE CLAIMS EN CONTRATOS DE EJECUCIÓN DE PROYECTOS. Santa Cruz, Bolivia, abril 2024
•	AEE BOLIVIA CHAPTER
Panelista en Conversatorio: HIDRÓGENO VERDE EN EL DESARROLLO NACIONAL DE BOLIVIA. Marzo 2024
•	Universidad UAGRM (Congreso Nacional de Ingeniería Petrolera y ramas afines):
Speaker: MODELO PARA EL DESARROLLO ESTRATÉGICO DE HIDRÓGENO VERDDE EN BOLIVIA. Marzo 2024
•	PCE (Project Control Expo) Brasil 2024
Speaker en el PCE Brasil 2024 – Análisis comparativo del SPI($) y SPI(t) en la medición de Desempeño de Proyectos de Construcción – Sao Paulo, marzo 2024
•	CONGRESO INTERNACIONAL DE GESTION DE PROYECTOS DEL PMI CAPITULO SANTA CRUZ
Speaker: UN NUEVO ENFOQUE PARA LA GESTION DE PROYECTOS DE TRANSICION ENERGETICA HACIA EL HIDROGENO VERDE EN BOLIVIA. Noviembre 2023
•	SIB SANTA CRUZ (Sociedad de Ingenieros de Bolivia): Speaker en Congreso INGECON con tema: HIDROGENO VERDE PARA BOLIVIA – octubre 2023
•	PMI LATINOAMERICA: Trainer en Grupo de Estudio para certificación PMP de 19 Capitulo LATAM, tema: Gestión de Costos – agosto 2023
•	PCE Brazil (Project Control Expo): Speaker: INTEGRACIÓN DEL ÍNDICE PDRI 113-2 CON LA RP 18R-97 DE LA AACEI. octubre 2023
•	CBER (Centro Boliviano de Energías Renovables): Expositor en Congreso Transición Energética, Hidrogeno Verde y Litio para Bolivia, con el tema: HIDROGENO VERDE Y OPORTUNIDADES DE DESARROLLO PARA BOLIVIA. Agosto 2023
•	FESA (Fundación Educacional San Agustín) y colegio San Agustín de Cochabamba: Profesor Voluntario: PROJECT MANAGEMENT PARA FUTUROS GERENTES – septiembre 2023
•	CLAPEC (Comunidad Latinoamericana de Peritos en Construcción): Participación como panelista en Tertulia: VOCABULARIO COMUN LATINOAMERICANO – agosto 2023
•	AACE BOLIVIA SECTION
Speaker: INTEGRACIÓN DEL ÍNDICE PDRI 113-2 CON LA RP 18R-97 DE LA AACEI. julio 2023.
•	Project Controls EXPO Awards 2023
Invitado por 3ra vez como Juez para la premiación mundial de los mejores trabajos en Control de Proyectos. U.K. – agosto 2023
•	Feria de Energía FINERGY 2023
Speaker en ciclo de conferencias – MODELO PARA EL DESARROLLO ESTRATEGICO DEL HIDROGENO VERDE EN BOLIVIA – Santa Cruz, junio 2023
•	SIB Chuquisaca (Sociedad de Ingenieros de Bolivia)
Speaker en conferencia –DESARROLLO ESTRATEGICO DEL HIDROGENO VERDE EN BOLIVIA – Sucre, junio 2023
•	CIEE Santa Cruz (Colegio de Ingenieros Eléctricos y Electrónicos) - AEE Capitulo Bolivia (Asociación de Ingenieros de Energía con sede en USA)
Speaker en conferencia – LA AEE EN BOLIVIA – Santa Cruz, mayo 2023
•	Universidad UTEPSA - AEE Capitulo Bolivia (Asociación de Ingenieros de Energía con sede en USA)
Speaker en conferencia – LA AEE EN BOLIVIA – Santa Cruz, abril 2023
•	SIB Santa Cruz (Sociedad de Ingenieros de Bolivia) – Conversatorio sobre Avances en la Transición Energética en Bolivia
Speaker en ciclo de conferencias – DESARROLLO ESTRATEGICO DEL HIDROGENO VERDE EN BOLIVIA – Santa Cruz, abril 2023
•	Programa Hablan los Ingenieros en República Dominicana
Speaker en webinar – INTEGRACION DEL INDICE PDRI CON LA RP 18R-97 DE LA AACEI – marzo 2023
•	Congreso Internacional AACE Brasil 2023
Speaker en el Congreso AACE Brasil 2023 - Marco de Trabajo del TCM y las RPs de la AACEI – Sao Paulo, marzo 2023
•	Universidad UCB Post Grado Santa Cruz: Tribunal de Tesis de Maestría - PROPUESTA DE DISEÑO E IMPLEMENTACION DE UN MARCO METODOLÓGICO BAJO ESTANDARES DEL PMI PARA LA NB/ISO/IEC 17025:2018 PARA EL LABORATORIO UNALAB – SENASAG EN LA ACREDITACIÓN DE LOS MÉTODOS DE SALMONELLA Y SULFONAMIDAS EN SANTA CRUZ DE LA SIERRA, agosto 2022
•	Project Controls EXPO Awards 2022
Invitado por 2da vez como Juez para la premiación mundial de los mejores trabajos en Control de Proyectos. U.K. – agosto 2022
•	AACE Arabian Gulf Section:
Speaker: Management Model based on the TCMF of the AACEI for the Creation of Strategic Assets in a Company of the Oil Industry (E&amp;P), julio 2022
•	Capitulo PMI Santa Cruz Bolivia:
Speaker: GESTIÓN DE CLAIMS EN CONTRATOS DE EJECUCIÓN DE PROYECTOS
Junio 2022
•	Project Controls EXPO Virtual U.K.,
Speaker: ANÁLISIS DEL SPI($) Y SPI(t) EN EL DESEMPEÑO DE PROYECTOS DE CONSTRUCCION  septiembre 2021 (U.K.)
•	Project Controls EXPO Awards 2021
Invitado como Juez para la premiación mundial de los mejores trabajos en Control de Proyectos. U.K. – agosto 2021
•	Universidad UNIVALLE
Docente Diplomado en Energías Renovables – Módulo Planificación y Gestión de Proyectos Energéticos (versión 1 y 2) – agosto 2021 – enero 2022
•	Universidad UAGRM FCET – Unidad Post grado
Docente Maestría Proyectos de Ingeniería: - Modulo Introducción al Project Management bajo estándares PMI – agosto 2021 a 2024.
•	Dubai: 5th Annual KWB Knowledge Without Borders
Keynote Speaker: IS SPI REALLY AN EFFECTIVE INDICATOR FOR PROJECT CONTROL?
Febrero 2021
•	Project Controls EXPO Virtual U.K. 2020
Speaker: ¿ES EL SPI REALMENTE UN INDICADOR EFECTIVO PARA EL CONTROL DE PROYECTOS? noviembre 2020 (U.K.)
</t>
  </si>
  <si>
    <t xml:space="preserve">Cuento con mas de 15 años de experiencia como expositor nacional e internacional en diversas areas de especialidad en las que trabajo, como ser:
- Gerenciamiento y planificacion de proyectos
- Control de proyectos
- Estimacion de costos en proyectos
- Inteligencia Artificial en el modelamiento de viabilidad economica de produccion de energia en plantas renovables
- Ingenieria de costos en proyectos
- Metodologias de desarrollo de proyectos
- Gestion de Claims en contratos de ejecucion de proyectos
- Estudios de viabilidad tecnico-economicas de plantas de energias verdes y renovables
- Analisis de negocio para proyectos energeticos e industriales
</t>
  </si>
  <si>
    <t>DE EXCEL A LA INTELIG... (ver titulo en Objetivos)</t>
  </si>
  <si>
    <t>Titulo: DE EXCEL A LA INTELIGENCIA ARTIFICIAL: UNA NUEVA GENERACIÓN DE MODELOS PARA EVALUAR LA VIABILIDAD TÉCNICO-ECONÓMICA DE PROYECTOS DE ENERGÍAS RENOVABLES
a) Demostrar cómo la Inteligencia Artificial (IA) permite transformar modelos convencionales de Excel en herramientas avanzadas, integradas y automatizadas para la evaluación técnico-económica de proyectos de energías renovables.
b) Presentar una metodología práctica de desarrollo de modelos para estimar CAPEX, calcular y comparar el LCOE y evaluar indicadores financieros de distintas tecnologías de generación renovable.
c) Exponer la aplicación de IA en el desarrollo de dashboards interactivos, interfaces HTML, análisis de escenarios y módulos de auditoría y validación de modelos económico-financieros.
d) Evidenciar los beneficios de la IA en productividad, precisión, trazabilidad y confiabilidad de los modelos, fortaleciendo la toma de decisiones estratégicas de inversión.</t>
  </si>
  <si>
    <t>La innovación consiste en integrar Inteligencia Artificial generativa, mediante ChatGPT en modo Work, con modelos de ingeniería de costos y evaluación técnico-económica desarrollados en Excel, evolucionando hacia una plataforma digital de análisis de proyectos energéticos.
Esta metodología incorpora el desarrollo asistido por IA de estimaciones CAPEX, modelos LCOE, indicadores financieros, interfaces HTML, dashboards interactivos, simulación de escenarios y módulos automatizados de auditoría y validación.
Su principal aporte innovador es demostrar cómo la IA permite acelerar el desarrollo de modelos complejos, mejorar su trazabilidad y facilitar comparaciones entre tecnologías renovables, manteniendo la supervisión y validación del especialista para respaldar decisiones estratégicas de inversión.</t>
  </si>
  <si>
    <t>https://drive.google.com/open?id=1fh5A18NNiCFVzhdlRx0YkM-8ASGJdKp-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</si>
</sst>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HH:mm"/>
    <numFmt numFmtId="165" formatCode="m/d/yyyy h:mm:ss"/>
  </numFmts>
  <fonts count="42">
    <font>
      <sz val="10.0"/>
      <color rgb="FF000000"/>
      <name val="Arial"/>
      <scheme val="minor"/>
    </font>
    <font>
      <b/>
      <sz val="11.0"/>
      <color rgb="FF000000"/>
      <name val="Arial"/>
    </font>
    <font>
      <b/>
      <sz val="9.0"/>
      <color rgb="FF000000"/>
      <name val="Arial"/>
    </font>
    <font/>
    <font>
      <b/>
      <color theme="1"/>
      <name val="Arial"/>
      <scheme val="minor"/>
    </font>
    <font>
      <sz val="9.0"/>
      <color rgb="FF000000"/>
      <name val="Arial"/>
    </font>
    <font>
      <color theme="1"/>
      <name val="Arial"/>
      <scheme val="minor"/>
    </font>
    <font>
      <sz val="11.0"/>
      <color rgb="FF000000"/>
      <name val="Arial"/>
    </font>
    <font>
      <u/>
      <color rgb="FF0000FF"/>
      <name val="Cambria"/>
    </font>
    <font>
      <b/>
      <sz val="9.0"/>
      <color theme="1"/>
      <name val="Arial"/>
      <scheme val="minor"/>
    </font>
    <font>
      <sz val="9.0"/>
      <color theme="1"/>
      <name val="Arial"/>
      <scheme val="minor"/>
    </font>
    <font>
      <b/>
      <sz val="11.0"/>
      <color theme="1"/>
      <name val="Arial"/>
      <scheme val="minor"/>
    </font>
    <font>
      <color rgb="FF434343"/>
      <name val="Roboto"/>
    </font>
    <font>
      <sz val="11.0"/>
      <color theme="1"/>
      <name val="Arial"/>
      <scheme val="minor"/>
    </font>
    <font>
      <u/>
      <color rgb="FF0000FF"/>
    </font>
    <font>
      <u/>
      <color rgb="FF434343"/>
      <name val="Roboto"/>
    </font>
    <font>
      <u/>
      <color rgb="FF0000FF"/>
      <name val="Liberation Serif"/>
    </font>
    <font>
      <u/>
      <color rgb="FF0000FF"/>
    </font>
    <font>
      <u/>
      <color rgb="FF434343"/>
      <name val="Roboto"/>
    </font>
    <font>
      <u/>
      <color rgb="FF0000FF"/>
      <name val="Liberation Serif"/>
    </font>
    <font>
      <u/>
      <color rgb="FF434343"/>
      <name val="Roboto"/>
    </font>
    <font>
      <u/>
      <color rgb="FF0000FF"/>
      <name val="Cambria"/>
    </font>
    <font>
      <u/>
      <color rgb="FF0000FF"/>
    </font>
    <font>
      <u/>
      <color rgb="FF434343"/>
      <name val="Roboto"/>
    </font>
    <font>
      <sz val="14.0"/>
      <color theme="1"/>
      <name val="Arial"/>
      <scheme val="minor"/>
    </font>
    <font>
      <b/>
      <sz val="13.0"/>
      <color theme="1"/>
      <name val="Arial"/>
      <scheme val="minor"/>
    </font>
    <font>
      <color theme="1"/>
      <name val="Arial"/>
    </font>
    <font>
      <b/>
      <sz val="11.0"/>
      <color rgb="FF007380"/>
      <name val="Arial"/>
    </font>
    <font>
      <color theme="1"/>
      <name val="Liberation Serif"/>
    </font>
    <font>
      <u/>
      <color rgb="FF0000FF"/>
    </font>
    <font>
      <u/>
      <color rgb="FF0000FF"/>
    </font>
    <font>
      <u/>
      <color rgb="FF0000FF"/>
    </font>
    <font>
      <color rgb="FF000000"/>
      <name val="Arial"/>
      <scheme val="minor"/>
    </font>
    <font>
      <sz val="11.0"/>
      <color rgb="FF2C363A"/>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
      <u/>
      <color rgb="FF434343"/>
      <name val="Roboto"/>
    </font>
  </fonts>
  <fills count="10">
    <fill>
      <patternFill patternType="none"/>
    </fill>
    <fill>
      <patternFill patternType="lightGray"/>
    </fill>
    <fill>
      <patternFill patternType="solid">
        <fgColor rgb="FFA4C2F4"/>
        <bgColor rgb="FFA4C2F4"/>
      </patternFill>
    </fill>
    <fill>
      <patternFill patternType="solid">
        <fgColor rgb="FFCFE2F3"/>
        <bgColor rgb="FFCFE2F3"/>
      </patternFill>
    </fill>
    <fill>
      <patternFill patternType="solid">
        <fgColor rgb="FF0B5394"/>
        <bgColor rgb="FF0B5394"/>
      </patternFill>
    </fill>
    <fill>
      <patternFill patternType="solid">
        <fgColor rgb="FFF8F9FA"/>
        <bgColor rgb="FFF8F9FA"/>
      </patternFill>
    </fill>
    <fill>
      <patternFill patternType="solid">
        <fgColor rgb="FFFFFFFF"/>
        <bgColor rgb="FFFFFFFF"/>
      </patternFill>
    </fill>
    <fill>
      <patternFill patternType="solid">
        <fgColor rgb="FFFFFF00"/>
        <bgColor rgb="FFFFFF00"/>
      </patternFill>
    </fill>
    <fill>
      <patternFill patternType="solid">
        <fgColor rgb="FFFCE5CD"/>
        <bgColor rgb="FFFCE5CD"/>
      </patternFill>
    </fill>
    <fill>
      <patternFill patternType="solid">
        <fgColor rgb="FFFF0000"/>
        <bgColor rgb="FFFF0000"/>
      </patternFill>
    </fill>
  </fills>
  <borders count="20">
    <border/>
    <border>
      <left style="thin">
        <color rgb="FF4A86E8"/>
      </left>
      <top style="thin">
        <color rgb="FF4A86E8"/>
      </top>
      <bottom style="thin">
        <color rgb="FF4A86E8"/>
      </bottom>
    </border>
    <border>
      <right style="thin">
        <color rgb="FF4A86E8"/>
      </right>
      <top style="thin">
        <color rgb="FF4A86E8"/>
      </top>
      <bottom style="thin">
        <color rgb="FF4A86E8"/>
      </bottom>
    </border>
    <border>
      <left style="thin">
        <color rgb="FF4A86E8"/>
      </left>
      <right style="thin">
        <color rgb="FF4A86E8"/>
      </right>
      <top style="thin">
        <color rgb="FF4A86E8"/>
      </top>
      <bottom style="thin">
        <color rgb="FF4A86E8"/>
      </bottom>
    </border>
    <border>
      <left style="thin">
        <color rgb="FF0000FF"/>
      </left>
      <right style="thin">
        <color rgb="FF0000FF"/>
      </right>
      <top style="thin">
        <color rgb="FF0000FF"/>
      </top>
      <bottom style="thin">
        <color rgb="FF0000FF"/>
      </bottom>
    </border>
    <border>
      <left style="thin">
        <color rgb="FF0000FF"/>
      </left>
      <top style="thin">
        <color rgb="FF0000FF"/>
      </top>
      <bottom style="thin">
        <color rgb="FF0000FF"/>
      </bottom>
    </border>
    <border>
      <right style="thin">
        <color rgb="FF0000FF"/>
      </right>
      <top style="thin">
        <color rgb="FF0000FF"/>
      </top>
      <bottom style="thin">
        <color rgb="FF0000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FFFFFF"/>
      </bottom>
    </border>
    <border>
      <left style="thin">
        <color rgb="FFF8F9FA"/>
      </left>
      <right style="thin">
        <color rgb="FF442F65"/>
      </right>
      <top style="thin">
        <color rgb="FFF8F9FA"/>
      </top>
      <bottom style="thin">
        <color rgb="FFF8F9FA"/>
      </bottom>
    </border>
    <border>
      <left style="thin">
        <color rgb="FF442F65"/>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top style="thin">
        <color rgb="FF0000FF"/>
      </top>
      <bottom style="thin">
        <color rgb="FF0000FF"/>
      </bottom>
    </border>
    <border>
      <left style="thin">
        <color rgb="FFFFFFFF"/>
      </left>
      <right style="thin">
        <color rgb="FFFFFFFF"/>
      </right>
      <top style="thin">
        <color rgb="FFFFFFFF"/>
      </top>
      <bottom style="thin">
        <color rgb="FF442F65"/>
      </bottom>
    </border>
    <border>
      <left style="thin">
        <color rgb="FFF8F9FA"/>
      </left>
      <right style="thin">
        <color rgb="FFF8F9FA"/>
      </right>
      <top style="thin">
        <color rgb="FFF8F9FA"/>
      </top>
      <bottom style="thin">
        <color rgb="FF442F65"/>
      </bottom>
    </border>
    <border>
      <left style="thin">
        <color rgb="FF442F65"/>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
      <left style="thin">
        <color rgb="FF442F65"/>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180">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3" fontId="2" numFmtId="0" xfId="0" applyAlignment="1" applyBorder="1" applyFill="1" applyFont="1">
      <alignment horizontal="center" readingOrder="0" shrinkToFit="0" vertical="center" wrapText="1"/>
    </xf>
    <xf borderId="2" fillId="0" fontId="3" numFmtId="0" xfId="0" applyBorder="1" applyFont="1"/>
    <xf borderId="0" fillId="4" fontId="1" numFmtId="0" xfId="0" applyAlignment="1" applyFill="1" applyFont="1">
      <alignment horizontal="center" readingOrder="0" shrinkToFit="0" vertical="center" wrapText="1"/>
    </xf>
    <xf borderId="3" fillId="3" fontId="2" numFmtId="0" xfId="0" applyAlignment="1" applyBorder="1" applyFill="1" applyFont="1">
      <alignment horizontal="center" readingOrder="0" shrinkToFit="0" vertical="center" wrapText="1"/>
    </xf>
    <xf borderId="0" fillId="0" fontId="4" numFmtId="0" xfId="0" applyAlignment="1" applyFont="1">
      <alignment horizontal="center" readingOrder="0" vertical="top"/>
    </xf>
    <xf borderId="0" fillId="0" fontId="2" numFmtId="0" xfId="0" applyAlignment="1" applyFont="1">
      <alignment horizontal="center" readingOrder="0" shrinkToFit="0" vertical="center" wrapText="1"/>
    </xf>
    <xf borderId="0" fillId="0" fontId="4" numFmtId="49" xfId="0" applyAlignment="1" applyFont="1" applyNumberFormat="1">
      <alignment horizontal="left" readingOrder="0" vertical="top"/>
    </xf>
    <xf borderId="4" fillId="0" fontId="1" numFmtId="0" xfId="0" applyAlignment="1" applyBorder="1" applyFont="1">
      <alignment horizontal="center" readingOrder="0" shrinkToFit="0" vertical="center" wrapText="1"/>
    </xf>
    <xf borderId="0" fillId="0" fontId="6" numFmtId="0" xfId="0" applyAlignment="1" applyFont="1">
      <alignment readingOrder="0"/>
    </xf>
    <xf borderId="3" fillId="0" fontId="5" numFmtId="164" xfId="0" applyAlignment="1" applyBorder="1" applyFont="1" applyNumberFormat="1">
      <alignment horizontal="center" readingOrder="0" shrinkToFit="0" wrapText="0"/>
    </xf>
    <xf borderId="3" fillId="0" fontId="5" numFmtId="164" xfId="0" applyAlignment="1" applyBorder="1" applyFont="1" applyNumberFormat="1">
      <alignment horizontal="center" readingOrder="0" shrinkToFit="0" vertical="center" wrapText="0"/>
    </xf>
    <xf borderId="0" fillId="0" fontId="6" numFmtId="0" xfId="0" applyAlignment="1" applyFont="1">
      <alignment readingOrder="0" vertical="top"/>
    </xf>
    <xf borderId="0" fillId="5" fontId="7" numFmtId="49" xfId="0" applyAlignment="1" applyFill="1" applyFont="1" applyNumberFormat="1">
      <alignment horizontal="left" readingOrder="0" shrinkToFit="0" wrapText="1"/>
    </xf>
    <xf borderId="0" fillId="5" fontId="8" numFmtId="49" xfId="0" applyAlignment="1" applyFill="1" applyFont="1" applyNumberFormat="1">
      <alignment horizontal="center" readingOrder="0" vertical="top"/>
    </xf>
    <xf borderId="0" fillId="5" fontId="6" numFmtId="0" xfId="0" applyAlignment="1" applyFill="1" applyFont="1">
      <alignment readingOrder="0" vertical="top"/>
    </xf>
    <xf borderId="4" fillId="0" fontId="7" numFmtId="0" xfId="0" applyAlignment="1" applyBorder="1" applyFont="1">
      <alignment horizontal="center" readingOrder="0" shrinkToFit="0" vertical="center" wrapText="1"/>
    </xf>
    <xf borderId="5" fillId="0" fontId="9" numFmtId="0" xfId="0" applyAlignment="1" applyBorder="1" applyFont="1">
      <alignment horizontal="center" readingOrder="0" shrinkToFit="0" vertical="center" wrapText="1"/>
    </xf>
    <xf borderId="6" fillId="0" fontId="3" numFmtId="0" xfId="0" applyBorder="1" applyFont="1"/>
    <xf borderId="0" fillId="0" fontId="10" numFmtId="0" xfId="0" applyAlignment="1" applyFont="1">
      <alignment horizontal="center" readingOrder="0" shrinkToFit="0" vertical="center" wrapText="1"/>
    </xf>
    <xf borderId="1" fillId="0" fontId="10" numFmtId="0" xfId="0" applyAlignment="1" applyBorder="1" applyFont="1">
      <alignment horizontal="center" readingOrder="0" shrinkToFit="0" vertical="center" wrapText="1"/>
    </xf>
    <xf borderId="5" fillId="0" fontId="11" numFmtId="0" xfId="0" applyAlignment="1" applyBorder="1" applyFont="1">
      <alignment horizontal="center" readingOrder="0" shrinkToFit="0" vertical="center" wrapText="1"/>
    </xf>
    <xf borderId="0" fillId="4" fontId="11" numFmtId="0" xfId="0" applyAlignment="1" applyFill="1" applyFont="1">
      <alignment horizontal="center" readingOrder="0" shrinkToFit="0" vertical="center" wrapText="1"/>
    </xf>
    <xf borderId="7" fillId="6" fontId="12" numFmtId="165" xfId="0" applyAlignment="1" applyBorder="1" applyFill="1" applyFont="1" applyNumberFormat="1">
      <alignment horizontal="right" shrinkToFit="0" wrapText="0"/>
    </xf>
    <xf borderId="0" fillId="0" fontId="11" numFmtId="0" xfId="0" applyAlignment="1" applyFont="1">
      <alignment horizontal="center" readingOrder="0" shrinkToFit="0" vertical="center" wrapText="1"/>
    </xf>
    <xf borderId="8" fillId="6" fontId="12" numFmtId="0" xfId="0" applyAlignment="1" applyBorder="1" applyFill="1" applyFont="1">
      <alignment shrinkToFit="0" wrapText="0"/>
    </xf>
    <xf borderId="1" fillId="7" fontId="5" numFmtId="0" xfId="0" applyAlignment="1" applyBorder="1" applyFill="1" applyFont="1">
      <alignment horizontal="center" readingOrder="0" shrinkToFit="0" vertical="center" wrapText="0"/>
    </xf>
    <xf quotePrefix="1" borderId="8" fillId="5" fontId="12" numFmtId="49" xfId="0" applyAlignment="1" applyBorder="1" applyFill="1" applyFont="1" applyNumberFormat="1">
      <alignment horizontal="left" readingOrder="0" shrinkToFit="0" vertical="top" wrapText="0"/>
    </xf>
    <xf borderId="5" fillId="7" fontId="13" numFmtId="0" xfId="0" applyAlignment="1" applyBorder="1" applyFill="1" applyFont="1">
      <alignment horizontal="center" readingOrder="0" shrinkToFit="0" vertical="center" wrapText="1"/>
    </xf>
    <xf borderId="0" fillId="4" fontId="13" numFmtId="0" xfId="0" applyAlignment="1" applyFill="1" applyFont="1">
      <alignment horizontal="center" readingOrder="0" shrinkToFit="0" vertical="center" wrapText="1"/>
    </xf>
    <xf borderId="0" fillId="0" fontId="7" numFmtId="0" xfId="0" applyAlignment="1" applyFont="1">
      <alignment horizontal="center" readingOrder="0" shrinkToFit="0" vertical="center" wrapText="1"/>
    </xf>
    <xf borderId="5" fillId="2" fontId="10" numFmtId="0" xfId="0" applyAlignment="1" applyBorder="1" applyFill="1" applyFont="1">
      <alignment horizontal="center" readingOrder="0" shrinkToFit="0" vertical="center" wrapText="1"/>
    </xf>
    <xf borderId="5" fillId="3" fontId="10" numFmtId="0" xfId="0" applyAlignment="1" applyBorder="1" applyFill="1" applyFont="1">
      <alignment horizontal="center" readingOrder="0" shrinkToFit="0" vertical="center" wrapText="1"/>
    </xf>
    <xf borderId="5" fillId="2" fontId="13" numFmtId="0" xfId="0" applyAlignment="1" applyBorder="1" applyFill="1" applyFont="1">
      <alignment horizontal="center" readingOrder="0" shrinkToFit="0" vertical="center" wrapText="1"/>
    </xf>
    <xf borderId="4" fillId="3" fontId="10" numFmtId="0" xfId="0" applyAlignment="1" applyBorder="1" applyFill="1" applyFont="1">
      <alignment horizontal="center" readingOrder="0" shrinkToFit="0" vertical="center" wrapText="1"/>
    </xf>
    <xf borderId="0" fillId="5" fontId="14" numFmtId="0" xfId="0" applyAlignment="1" applyFill="1" applyFont="1">
      <alignment readingOrder="0" vertical="top"/>
    </xf>
    <xf borderId="8" fillId="6" fontId="15" numFmtId="0" xfId="0" applyAlignment="1" applyBorder="1" applyFill="1" applyFont="1">
      <alignment shrinkToFit="0" wrapText="0"/>
    </xf>
    <xf borderId="0" fillId="3" fontId="6" numFmtId="0" xfId="0" applyAlignment="1" applyFill="1" applyFont="1">
      <alignment readingOrder="0" vertical="top"/>
    </xf>
    <xf borderId="4" fillId="0" fontId="10" numFmtId="0" xfId="0" applyAlignment="1" applyBorder="1" applyFont="1">
      <alignment horizontal="center" readingOrder="0" shrinkToFit="0" vertical="center" wrapText="1"/>
    </xf>
    <xf borderId="4" fillId="3" fontId="13" numFmtId="0" xfId="0" applyAlignment="1" applyBorder="1" applyFill="1" applyFont="1">
      <alignment horizontal="center" readingOrder="0" shrinkToFit="0" vertical="center" wrapText="1"/>
    </xf>
    <xf borderId="3" fillId="8" fontId="5" numFmtId="164" xfId="0" applyAlignment="1" applyBorder="1" applyFill="1" applyFont="1" applyNumberFormat="1">
      <alignment horizontal="center" readingOrder="0" shrinkToFit="0" wrapText="0"/>
    </xf>
    <xf borderId="3" fillId="8" fontId="10" numFmtId="0" xfId="0" applyAlignment="1" applyBorder="1" applyFill="1" applyFont="1">
      <alignment horizontal="center" readingOrder="0" shrinkToFit="0" vertical="center" wrapText="1"/>
    </xf>
    <xf borderId="6" fillId="7" fontId="13" numFmtId="0" xfId="0" applyAlignment="1" applyBorder="1" applyFill="1" applyFont="1">
      <alignment horizontal="center" readingOrder="0" shrinkToFit="0" vertical="center" wrapText="1"/>
    </xf>
    <xf borderId="0" fillId="8" fontId="10" numFmtId="0" xfId="0" applyAlignment="1" applyFill="1" applyFont="1">
      <alignment horizontal="center" readingOrder="0" shrinkToFit="0" vertical="center" wrapText="1"/>
    </xf>
    <xf borderId="0" fillId="5" fontId="16" numFmtId="0" xfId="0" applyAlignment="1" applyFill="1" applyFont="1">
      <alignment horizontal="left" readingOrder="0"/>
    </xf>
    <xf borderId="8" fillId="5" fontId="12" numFmtId="0" xfId="0" applyAlignment="1" applyBorder="1" applyFill="1" applyFont="1">
      <alignment shrinkToFit="0" vertical="top" wrapText="0"/>
    </xf>
    <xf borderId="0" fillId="6" fontId="7" numFmtId="49" xfId="0" applyAlignment="1" applyFill="1" applyFont="1" applyNumberFormat="1">
      <alignment horizontal="left" readingOrder="0" shrinkToFit="0" wrapText="1"/>
    </xf>
    <xf borderId="0" fillId="6" fontId="6" numFmtId="0" xfId="0" applyAlignment="1" applyFill="1" applyFont="1">
      <alignment readingOrder="0" vertical="top"/>
    </xf>
    <xf borderId="9" fillId="6" fontId="12" numFmtId="49" xfId="0" applyAlignment="1" applyBorder="1" applyFill="1" applyFont="1" applyNumberFormat="1">
      <alignment horizontal="left" shrinkToFit="0" vertical="top" wrapText="0"/>
    </xf>
    <xf borderId="3" fillId="8" fontId="5" numFmtId="164" xfId="0" applyAlignment="1" applyBorder="1" applyFill="1" applyFont="1" applyNumberFormat="1">
      <alignment horizontal="center" readingOrder="0" shrinkToFit="0" vertical="center" wrapText="0"/>
    </xf>
    <xf borderId="4" fillId="8" fontId="7" numFmtId="0" xfId="0" applyAlignment="1" applyBorder="1" applyFill="1" applyFont="1">
      <alignment horizontal="center" readingOrder="0" shrinkToFit="0" vertical="center" wrapText="1"/>
    </xf>
    <xf borderId="4" fillId="8" fontId="13" numFmtId="0" xfId="0" applyAlignment="1" applyBorder="1" applyFill="1" applyFont="1">
      <alignment horizontal="center" readingOrder="0" shrinkToFit="0" vertical="center" wrapText="1"/>
    </xf>
    <xf borderId="0" fillId="6" fontId="17" numFmtId="0" xfId="0" applyAlignment="1" applyFill="1" applyFont="1">
      <alignment readingOrder="0" vertical="top"/>
    </xf>
    <xf borderId="10" fillId="6" fontId="18" numFmtId="0" xfId="0" applyAlignment="1" applyBorder="1" applyFill="1" applyFont="1">
      <alignment shrinkToFit="0" wrapText="0"/>
    </xf>
    <xf borderId="5" fillId="0" fontId="10" numFmtId="0" xfId="0" applyAlignment="1" applyBorder="1" applyFont="1">
      <alignment horizontal="center" readingOrder="0" shrinkToFit="0" vertical="center" wrapText="1"/>
    </xf>
    <xf borderId="11" fillId="5" fontId="12" numFmtId="165" xfId="0" applyAlignment="1" applyBorder="1" applyFill="1" applyFont="1" applyNumberFormat="1">
      <alignment horizontal="right" shrinkToFit="0" wrapText="0"/>
    </xf>
    <xf borderId="9" fillId="5" fontId="12" numFmtId="0" xfId="0" applyAlignment="1" applyBorder="1" applyFill="1" applyFont="1">
      <alignment shrinkToFit="0" wrapText="0"/>
    </xf>
    <xf borderId="0" fillId="6" fontId="19" numFmtId="0" xfId="0" applyAlignment="1" applyFill="1" applyFont="1">
      <alignment horizontal="left" readingOrder="0"/>
    </xf>
    <xf borderId="9" fillId="6" fontId="12" numFmtId="0" xfId="0" applyAlignment="1" applyBorder="1" applyFill="1" applyFont="1">
      <alignment shrinkToFit="0" vertical="top" wrapText="0"/>
    </xf>
    <xf borderId="9" fillId="5" fontId="20" numFmtId="0" xfId="0" applyAlignment="1" applyBorder="1" applyFill="1" applyFont="1">
      <alignment shrinkToFit="0" wrapText="0"/>
    </xf>
    <xf borderId="8" fillId="5" fontId="12" numFmtId="49" xfId="0" applyAlignment="1" applyBorder="1" applyFill="1" applyFont="1" applyNumberFormat="1">
      <alignment horizontal="left" shrinkToFit="0" vertical="top" wrapText="0"/>
    </xf>
    <xf borderId="0" fillId="6" fontId="21" numFmtId="49" xfId="0" applyAlignment="1" applyFill="1" applyFont="1" applyNumberFormat="1">
      <alignment horizontal="center" readingOrder="0" vertical="top"/>
    </xf>
    <xf borderId="0" fillId="0" fontId="10" numFmtId="0" xfId="0" applyFont="1"/>
    <xf borderId="0" fillId="0" fontId="5" numFmtId="0" xfId="0" applyAlignment="1" applyFont="1">
      <alignment horizontal="left" readingOrder="0" shrinkToFit="0" vertical="center" wrapText="0"/>
    </xf>
    <xf borderId="0" fillId="0" fontId="5" numFmtId="0" xfId="0" applyAlignment="1" applyFont="1">
      <alignment horizontal="center" readingOrder="0" shrinkToFit="0" vertical="center" wrapText="1"/>
    </xf>
    <xf borderId="0" fillId="0" fontId="1" numFmtId="0" xfId="0" applyAlignment="1" applyFont="1">
      <alignment readingOrder="0" vertical="center"/>
    </xf>
    <xf borderId="0" fillId="6" fontId="22" numFmtId="0" xfId="0" applyAlignment="1" applyFill="1" applyFont="1">
      <alignment readingOrder="0" vertical="top"/>
    </xf>
    <xf borderId="0" fillId="0" fontId="6" numFmtId="0" xfId="0" applyAlignment="1" applyFont="1">
      <alignment horizontal="left"/>
    </xf>
    <xf borderId="12" fillId="5" fontId="23" numFmtId="0" xfId="0" applyAlignment="1" applyBorder="1" applyFill="1" applyFont="1">
      <alignment shrinkToFit="0" wrapText="0"/>
    </xf>
    <xf borderId="0" fillId="0" fontId="1" numFmtId="0" xfId="0" applyAlignment="1" applyFont="1">
      <alignment vertical="center"/>
    </xf>
    <xf quotePrefix="1" borderId="9" fillId="5" fontId="12" numFmtId="49" xfId="0" applyAlignment="1" applyBorder="1" applyFill="1" applyFont="1" applyNumberFormat="1">
      <alignment horizontal="left" readingOrder="0" shrinkToFit="0" vertical="top" wrapText="0"/>
    </xf>
    <xf borderId="0" fillId="0" fontId="24" numFmtId="0" xfId="0" applyAlignment="1" applyFont="1">
      <alignment horizontal="left" shrinkToFit="0" vertical="center" wrapText="1"/>
    </xf>
    <xf borderId="4" fillId="3" fontId="7" numFmtId="0" xfId="0" applyAlignment="1" applyBorder="1" applyFill="1" applyFont="1">
      <alignment horizontal="center" readingOrder="0" shrinkToFit="0" vertical="center" wrapText="1"/>
    </xf>
    <xf borderId="0" fillId="0" fontId="25" numFmtId="0" xfId="0" applyAlignment="1" applyFont="1">
      <alignment horizontal="left"/>
    </xf>
    <xf borderId="9" fillId="5" fontId="12" numFmtId="0" xfId="0" applyAlignment="1" applyBorder="1" applyFill="1" applyFont="1">
      <alignment shrinkToFit="0" vertical="top" wrapText="0"/>
    </xf>
    <xf borderId="0" fillId="0" fontId="24" numFmtId="0" xfId="0" applyAlignment="1" applyFont="1">
      <alignment horizontal="center" shrinkToFit="0" vertical="center" wrapText="1"/>
    </xf>
    <xf quotePrefix="1" borderId="8" fillId="6" fontId="12" numFmtId="49" xfId="0" applyAlignment="1" applyBorder="1" applyFill="1" applyFont="1" applyNumberFormat="1">
      <alignment horizontal="left" readingOrder="0" shrinkToFit="0" vertical="top" wrapText="0"/>
    </xf>
    <xf borderId="0" fillId="0" fontId="13" numFmtId="0" xfId="0" applyAlignment="1" applyFont="1">
      <alignment shrinkToFit="0" vertical="center" wrapText="1"/>
    </xf>
    <xf borderId="0" fillId="0" fontId="13" numFmtId="0" xfId="0" applyFont="1"/>
    <xf borderId="0" fillId="4" fontId="13" numFmtId="0" xfId="0" applyFill="1" applyFont="1"/>
    <xf borderId="0" fillId="0" fontId="13" numFmtId="0" xfId="0" applyAlignment="1" applyFont="1">
      <alignment readingOrder="0"/>
    </xf>
    <xf borderId="13" fillId="0" fontId="3" numFmtId="0" xfId="0" applyBorder="1" applyFont="1"/>
    <xf borderId="0" fillId="0" fontId="11" numFmtId="0" xfId="0" applyAlignment="1" applyFont="1">
      <alignment readingOrder="0"/>
    </xf>
    <xf borderId="0" fillId="0" fontId="7" numFmtId="0" xfId="0" applyAlignment="1" applyFont="1">
      <alignment readingOrder="0" vertical="center"/>
    </xf>
    <xf borderId="0" fillId="0" fontId="13" numFmtId="0" xfId="0" applyAlignment="1" applyFont="1">
      <alignment horizontal="left"/>
    </xf>
    <xf borderId="8" fillId="6" fontId="12" numFmtId="0" xfId="0" applyAlignment="1" applyBorder="1" applyFill="1" applyFont="1">
      <alignment shrinkToFit="0" vertical="top" wrapText="0"/>
    </xf>
    <xf borderId="0" fillId="4" fontId="13" numFmtId="0" xfId="0" applyAlignment="1" applyFill="1" applyFont="1">
      <alignment horizontal="left"/>
    </xf>
    <xf borderId="0" fillId="0" fontId="13" numFmtId="0" xfId="0" applyAlignment="1" applyFont="1">
      <alignment horizontal="left" readingOrder="0"/>
    </xf>
    <xf borderId="9" fillId="5" fontId="12" numFmtId="49" xfId="0" applyAlignment="1" applyBorder="1" applyFill="1" applyFont="1" applyNumberFormat="1">
      <alignment horizontal="left" shrinkToFit="0" vertical="top" wrapText="0"/>
    </xf>
    <xf borderId="0" fillId="0" fontId="11" numFmtId="0" xfId="0" applyAlignment="1" applyFont="1">
      <alignment horizontal="left" readingOrder="0"/>
    </xf>
    <xf borderId="0" fillId="0" fontId="7" numFmtId="0" xfId="0" applyAlignment="1" applyFont="1">
      <alignment vertical="center"/>
    </xf>
    <xf borderId="0" fillId="0" fontId="13" numFmtId="0" xfId="0" applyAlignment="1" applyFont="1">
      <alignment horizontal="left" shrinkToFit="0" vertical="center" wrapText="1"/>
    </xf>
    <xf borderId="0" fillId="4" fontId="13" numFmtId="0" xfId="0" applyAlignment="1" applyFill="1" applyFont="1">
      <alignment horizontal="left" shrinkToFit="0" vertical="center" wrapText="1"/>
    </xf>
    <xf borderId="0" fillId="0" fontId="11" numFmtId="0" xfId="0" applyAlignment="1" applyFont="1">
      <alignment horizontal="left" readingOrder="0" shrinkToFit="0" vertical="center" wrapText="1"/>
    </xf>
    <xf borderId="8" fillId="6" fontId="26" numFmtId="0" xfId="0" applyBorder="1" applyFill="1" applyFont="1"/>
    <xf borderId="0" fillId="0" fontId="11" numFmtId="0" xfId="0" applyAlignment="1" applyFont="1">
      <alignment horizontal="left"/>
    </xf>
    <xf borderId="0" fillId="4" fontId="11" numFmtId="0" xfId="0" applyAlignment="1" applyFill="1" applyFont="1">
      <alignment horizontal="left"/>
    </xf>
    <xf borderId="0" fillId="0" fontId="13" numFmtId="0" xfId="0" applyAlignment="1" applyFont="1">
      <alignment horizontal="center" shrinkToFit="0" vertical="center" wrapText="1"/>
    </xf>
    <xf borderId="0" fillId="4" fontId="13" numFmtId="0" xfId="0" applyAlignment="1" applyFill="1" applyFont="1">
      <alignment horizontal="center" shrinkToFit="0" vertical="center" wrapText="1"/>
    </xf>
    <xf borderId="0" fillId="0" fontId="11" numFmtId="0" xfId="0" applyAlignment="1" applyFont="1">
      <alignment horizontal="left" readingOrder="0" shrinkToFit="0" vertical="center" wrapText="0"/>
    </xf>
    <xf borderId="8" fillId="5" fontId="6" numFmtId="49" xfId="0" applyAlignment="1" applyBorder="1" applyFill="1" applyFont="1" applyNumberFormat="1">
      <alignment horizontal="left" vertical="top"/>
    </xf>
    <xf borderId="0" fillId="5" fontId="7" numFmtId="0" xfId="0" applyAlignment="1" applyFill="1" applyFont="1">
      <alignment readingOrder="0" vertical="top"/>
    </xf>
    <xf borderId="0" fillId="5" fontId="27" numFmtId="0" xfId="0" applyAlignment="1" applyFill="1" applyFont="1">
      <alignment readingOrder="0"/>
    </xf>
    <xf borderId="8" fillId="5" fontId="6" numFmtId="0" xfId="0" applyAlignment="1" applyBorder="1" applyFill="1" applyFont="1">
      <alignment readingOrder="0" vertical="top"/>
    </xf>
    <xf borderId="0" fillId="0" fontId="6" numFmtId="0" xfId="0" applyAlignment="1" applyFont="1">
      <alignment vertical="top"/>
    </xf>
    <xf borderId="9" fillId="5" fontId="12" numFmtId="0" xfId="0" applyAlignment="1" applyBorder="1" applyFill="1" applyFont="1">
      <alignment horizontal="right" shrinkToFit="0" wrapText="0"/>
    </xf>
    <xf borderId="9" fillId="5" fontId="26" numFmtId="0" xfId="0" applyBorder="1" applyFill="1" applyFont="1"/>
    <xf borderId="0" fillId="8" fontId="6" numFmtId="0" xfId="0" applyAlignment="1" applyFill="1" applyFont="1">
      <alignment readingOrder="0" vertical="top"/>
    </xf>
    <xf borderId="8" fillId="6" fontId="12" numFmtId="49" xfId="0" applyAlignment="1" applyBorder="1" applyFill="1" applyFont="1" applyNumberFormat="1">
      <alignment horizontal="left" shrinkToFit="0" vertical="top" wrapText="0"/>
    </xf>
    <xf borderId="0" fillId="5" fontId="28" numFmtId="0" xfId="0" applyAlignment="1" applyFill="1" applyFont="1">
      <alignment horizontal="left" readingOrder="0"/>
    </xf>
    <xf borderId="8" fillId="5" fontId="12" numFmtId="0" xfId="0" applyAlignment="1" applyBorder="1" applyFill="1" applyFont="1">
      <alignment readingOrder="0" shrinkToFit="0" vertical="top" wrapText="0"/>
    </xf>
    <xf quotePrefix="1" borderId="9" fillId="6" fontId="12" numFmtId="49" xfId="0" applyAlignment="1" applyBorder="1" applyFill="1" applyFont="1" applyNumberFormat="1">
      <alignment horizontal="left" readingOrder="0" shrinkToFit="0" vertical="top" wrapText="0"/>
    </xf>
    <xf borderId="0" fillId="5" fontId="12" numFmtId="49" xfId="0" applyAlignment="1" applyFill="1" applyFont="1" applyNumberFormat="1">
      <alignment horizontal="left" shrinkToFit="0" vertical="top" wrapText="0"/>
    </xf>
    <xf borderId="0" fillId="5" fontId="12" numFmtId="0" xfId="0" applyAlignment="1" applyFill="1" applyFont="1">
      <alignment shrinkToFit="0" vertical="top" wrapText="0"/>
    </xf>
    <xf borderId="0" fillId="5" fontId="12" numFmtId="0" xfId="0" applyAlignment="1" applyFill="1" applyFont="1">
      <alignment shrinkToFit="0" wrapText="0"/>
    </xf>
    <xf borderId="0" fillId="6" fontId="7" numFmtId="0" xfId="0" applyAlignment="1" applyFill="1" applyFont="1">
      <alignment horizontal="left" readingOrder="0" shrinkToFit="0" wrapText="1"/>
    </xf>
    <xf quotePrefix="1" borderId="8" fillId="6" fontId="12" numFmtId="0" xfId="0" applyAlignment="1" applyBorder="1" applyFill="1" applyFont="1">
      <alignment readingOrder="0" shrinkToFit="0" wrapText="0"/>
    </xf>
    <xf borderId="0" fillId="6" fontId="12" numFmtId="0" xfId="0" applyAlignment="1" applyFill="1" applyFont="1">
      <alignment shrinkToFit="0" wrapText="0"/>
    </xf>
    <xf borderId="0" fillId="6" fontId="27" numFmtId="0" xfId="0" applyAlignment="1" applyFill="1" applyFont="1">
      <alignment readingOrder="0"/>
    </xf>
    <xf borderId="8" fillId="6" fontId="6" numFmtId="0" xfId="0" applyAlignment="1" applyBorder="1" applyFill="1" applyFont="1">
      <alignment readingOrder="0" vertical="top"/>
    </xf>
    <xf borderId="0" fillId="5" fontId="29" numFmtId="0" xfId="0" applyAlignment="1" applyFill="1" applyFont="1">
      <alignment readingOrder="0" vertical="top"/>
    </xf>
    <xf borderId="0" fillId="0" fontId="6" numFmtId="0" xfId="0" applyAlignment="1" applyFont="1">
      <alignment readingOrder="0" shrinkToFit="0" vertical="top" wrapText="1"/>
    </xf>
    <xf borderId="0" fillId="9" fontId="6" numFmtId="0" xfId="0" applyAlignment="1" applyFill="1" applyFont="1">
      <alignment readingOrder="0" vertical="top"/>
    </xf>
    <xf borderId="14" fillId="5" fontId="12" numFmtId="49" xfId="0" applyAlignment="1" applyBorder="1" applyFill="1" applyFont="1" applyNumberFormat="1">
      <alignment horizontal="left" shrinkToFit="0" vertical="top" wrapText="0"/>
    </xf>
    <xf borderId="14" fillId="5" fontId="12" numFmtId="0" xfId="0" applyAlignment="1" applyBorder="1" applyFill="1" applyFont="1">
      <alignment shrinkToFit="0" vertical="top" wrapText="0"/>
    </xf>
    <xf borderId="0" fillId="0" fontId="7" numFmtId="49" xfId="0" applyAlignment="1" applyFont="1" applyNumberFormat="1">
      <alignment horizontal="left" readingOrder="0" shrinkToFit="0" wrapText="1"/>
    </xf>
    <xf borderId="0" fillId="6" fontId="12" numFmtId="49" xfId="0" applyAlignment="1" applyFill="1" applyFont="1" applyNumberFormat="1">
      <alignment horizontal="left" shrinkToFit="0" vertical="top" wrapText="0"/>
    </xf>
    <xf borderId="0" fillId="0" fontId="30" numFmtId="0" xfId="0" applyAlignment="1" applyFont="1">
      <alignment readingOrder="0" vertical="top"/>
    </xf>
    <xf borderId="0" fillId="6" fontId="12" numFmtId="0" xfId="0" applyAlignment="1" applyFill="1" applyFont="1">
      <alignment shrinkToFit="0" vertical="top" wrapText="0"/>
    </xf>
    <xf borderId="15" fillId="0" fontId="6" numFmtId="0" xfId="0" applyAlignment="1" applyBorder="1" applyFont="1">
      <alignment readingOrder="0" vertical="top"/>
    </xf>
    <xf quotePrefix="1" borderId="15" fillId="5" fontId="12" numFmtId="49" xfId="0" applyAlignment="1" applyBorder="1" applyFill="1" applyFont="1" applyNumberFormat="1">
      <alignment horizontal="left" readingOrder="0" shrinkToFit="0" vertical="top" wrapText="0"/>
    </xf>
    <xf borderId="15" fillId="0" fontId="31" numFmtId="0" xfId="0" applyAlignment="1" applyBorder="1" applyFont="1">
      <alignment readingOrder="0" vertical="top"/>
    </xf>
    <xf borderId="0" fillId="5" fontId="12" numFmtId="0" xfId="0" applyAlignment="1" applyFill="1" applyFont="1">
      <alignment shrinkToFit="0" vertical="top" wrapText="0"/>
    </xf>
    <xf borderId="0" fillId="5" fontId="12" numFmtId="0" xfId="0" applyAlignment="1" applyFill="1" applyFont="1">
      <alignment readingOrder="0" shrinkToFit="0" wrapText="0"/>
    </xf>
    <xf borderId="0" fillId="0" fontId="27" numFmtId="0" xfId="0" applyAlignment="1" applyFont="1">
      <alignment readingOrder="0"/>
    </xf>
    <xf borderId="9" fillId="6" fontId="12" numFmtId="0" xfId="0" applyAlignment="1" applyBorder="1" applyFill="1" applyFont="1">
      <alignment readingOrder="0" shrinkToFit="0" vertical="top" wrapText="0"/>
    </xf>
    <xf borderId="8" fillId="6" fontId="12" numFmtId="0" xfId="0" applyAlignment="1" applyBorder="1" applyFill="1" applyFont="1">
      <alignment readingOrder="0" shrinkToFit="0" vertical="top" wrapText="0"/>
    </xf>
    <xf borderId="0" fillId="5" fontId="32" numFmtId="49" xfId="0" applyAlignment="1" applyFill="1" applyFont="1" applyNumberFormat="1">
      <alignment horizontal="center" readingOrder="0" vertical="top"/>
    </xf>
    <xf borderId="0" fillId="6" fontId="6" numFmtId="0" xfId="0" applyAlignment="1" applyFill="1" applyFont="1">
      <alignment vertical="top"/>
    </xf>
    <xf quotePrefix="1" borderId="9" fillId="6" fontId="6" numFmtId="49" xfId="0" applyAlignment="1" applyBorder="1" applyFill="1" applyFont="1" applyNumberFormat="1">
      <alignment horizontal="left" readingOrder="0" vertical="top"/>
    </xf>
    <xf borderId="0" fillId="6" fontId="7" numFmtId="0" xfId="0" applyAlignment="1" applyFill="1" applyFont="1">
      <alignment readingOrder="0" vertical="top"/>
    </xf>
    <xf borderId="0" fillId="6" fontId="6" numFmtId="0" xfId="0" applyAlignment="1" applyFill="1" applyFont="1">
      <alignment horizontal="left"/>
    </xf>
    <xf borderId="9" fillId="6" fontId="6" numFmtId="0" xfId="0" applyAlignment="1" applyBorder="1" applyFill="1" applyFont="1">
      <alignment readingOrder="0" vertical="top"/>
    </xf>
    <xf borderId="0" fillId="5" fontId="7" numFmtId="0" xfId="0" applyAlignment="1" applyFill="1" applyFont="1">
      <alignment horizontal="left" readingOrder="0" shrinkToFit="0" wrapText="1"/>
    </xf>
    <xf borderId="0" fillId="6" fontId="12" numFmtId="0" xfId="0" applyAlignment="1" applyFill="1" applyFont="1">
      <alignment horizontal="center" readingOrder="0" vertical="top"/>
    </xf>
    <xf borderId="0" fillId="5" fontId="6" numFmtId="0" xfId="0" applyAlignment="1" applyFill="1" applyFont="1">
      <alignment vertical="top"/>
    </xf>
    <xf borderId="0" fillId="6" fontId="33" numFmtId="0" xfId="0" applyAlignment="1" applyFill="1" applyFont="1">
      <alignment horizontal="left" readingOrder="0"/>
    </xf>
    <xf quotePrefix="1" borderId="8" fillId="5" fontId="12" numFmtId="0" xfId="0" applyAlignment="1" applyBorder="1" applyFill="1" applyFont="1">
      <alignment readingOrder="0" shrinkToFit="0" wrapText="0"/>
    </xf>
    <xf borderId="0" fillId="5" fontId="12" numFmtId="0" xfId="0" applyAlignment="1" applyFill="1" applyFont="1">
      <alignment shrinkToFit="0" wrapText="0"/>
    </xf>
    <xf borderId="9" fillId="8" fontId="12" numFmtId="0" xfId="0" applyAlignment="1" applyBorder="1" applyFill="1" applyFont="1">
      <alignment shrinkToFit="0" wrapText="0"/>
    </xf>
    <xf borderId="9" fillId="6" fontId="12" numFmtId="0" xfId="0" applyAlignment="1" applyBorder="1" applyFill="1" applyFont="1">
      <alignment shrinkToFit="0" wrapText="0"/>
    </xf>
    <xf quotePrefix="1" borderId="9" fillId="6" fontId="12" numFmtId="0" xfId="0" applyAlignment="1" applyBorder="1" applyFill="1" applyFont="1">
      <alignment readingOrder="0" shrinkToFit="0" wrapText="0"/>
    </xf>
    <xf borderId="0" fillId="6" fontId="27" numFmtId="0" xfId="0" applyAlignment="1" applyFill="1" applyFont="1">
      <alignment readingOrder="0" vertical="top"/>
    </xf>
    <xf borderId="15" fillId="8" fontId="12" numFmtId="0" xfId="0" applyAlignment="1" applyBorder="1" applyFill="1" applyFont="1">
      <alignment shrinkToFit="0" wrapText="0"/>
    </xf>
    <xf borderId="15" fillId="5" fontId="12" numFmtId="0" xfId="0" applyAlignment="1" applyBorder="1" applyFill="1" applyFont="1">
      <alignment readingOrder="0" shrinkToFit="0" wrapText="0"/>
    </xf>
    <xf borderId="15" fillId="5" fontId="12" numFmtId="0" xfId="0" applyAlignment="1" applyBorder="1" applyFill="1" applyFont="1">
      <alignment shrinkToFit="0" wrapText="0"/>
    </xf>
    <xf quotePrefix="1" borderId="15" fillId="5" fontId="12" numFmtId="0" xfId="0" applyAlignment="1" applyBorder="1" applyFill="1" applyFont="1">
      <alignment horizontal="left" readingOrder="0" shrinkToFit="0" wrapText="0"/>
    </xf>
    <xf borderId="0" fillId="5" fontId="27" numFmtId="0" xfId="0" applyAlignment="1" applyFill="1" applyFont="1">
      <alignment readingOrder="0" vertical="top"/>
    </xf>
    <xf borderId="0" fillId="5" fontId="12" numFmtId="0" xfId="0" applyAlignment="1" applyFill="1" applyFont="1">
      <alignment readingOrder="0" shrinkToFit="0" vertical="top" wrapText="0"/>
    </xf>
    <xf borderId="10" fillId="6" fontId="26" numFmtId="0" xfId="0" applyBorder="1" applyFill="1" applyFont="1"/>
    <xf borderId="16" fillId="5" fontId="12" numFmtId="165" xfId="0" applyAlignment="1" applyBorder="1" applyFill="1" applyFont="1" applyNumberFormat="1">
      <alignment horizontal="right" shrinkToFit="0" wrapText="0"/>
    </xf>
    <xf borderId="14" fillId="5" fontId="12" numFmtId="0" xfId="0" applyAlignment="1" applyBorder="1" applyFill="1" applyFont="1">
      <alignment shrinkToFit="0" wrapText="0"/>
    </xf>
    <xf borderId="14" fillId="5" fontId="34" numFmtId="0" xfId="0" applyAlignment="1" applyBorder="1" applyFill="1" applyFont="1">
      <alignment shrinkToFit="0" wrapText="0"/>
    </xf>
    <xf borderId="17" fillId="5" fontId="35" numFmtId="0" xfId="0" applyAlignment="1" applyBorder="1" applyFill="1" applyFont="1">
      <alignment shrinkToFit="0" wrapText="0"/>
    </xf>
    <xf borderId="18" fillId="6" fontId="12" numFmtId="165" xfId="0" applyAlignment="1" applyBorder="1" applyFill="1" applyFont="1" applyNumberFormat="1">
      <alignment horizontal="right" shrinkToFit="0" wrapText="0"/>
    </xf>
    <xf borderId="15" fillId="6" fontId="12" numFmtId="0" xfId="0" applyAlignment="1" applyBorder="1" applyFill="1" applyFont="1">
      <alignment shrinkToFit="0" wrapText="0"/>
    </xf>
    <xf borderId="15" fillId="6" fontId="36" numFmtId="0" xfId="0" applyAlignment="1" applyBorder="1" applyFill="1" applyFont="1">
      <alignment shrinkToFit="0" wrapText="0"/>
    </xf>
    <xf borderId="19" fillId="6" fontId="37" numFmtId="0" xfId="0" applyAlignment="1" applyBorder="1" applyFill="1" applyFont="1">
      <alignment shrinkToFit="0" wrapText="0"/>
    </xf>
    <xf borderId="11" fillId="6" fontId="12" numFmtId="165" xfId="0" applyAlignment="1" applyBorder="1" applyFill="1" applyFont="1" applyNumberFormat="1">
      <alignment horizontal="right" shrinkToFit="0" wrapText="0"/>
    </xf>
    <xf borderId="9" fillId="6" fontId="12" numFmtId="0" xfId="0" applyAlignment="1" applyBorder="1" applyFill="1" applyFont="1">
      <alignment shrinkToFit="0" wrapText="0"/>
    </xf>
    <xf borderId="9" fillId="6" fontId="38" numFmtId="0" xfId="0" applyAlignment="1" applyBorder="1" applyFill="1" applyFont="1">
      <alignment shrinkToFit="0" wrapText="0"/>
    </xf>
    <xf borderId="12" fillId="6" fontId="39" numFmtId="0" xfId="0" applyAlignment="1" applyBorder="1" applyFill="1" applyFont="1">
      <alignment shrinkToFit="0" wrapText="0"/>
    </xf>
    <xf borderId="0" fillId="0" fontId="26" numFmtId="0" xfId="0" applyAlignment="1" applyFont="1">
      <alignment vertical="bottom"/>
    </xf>
    <xf borderId="18" fillId="5" fontId="12" numFmtId="165" xfId="0" applyAlignment="1" applyBorder="1" applyFill="1" applyFont="1" applyNumberFormat="1">
      <alignment horizontal="right" shrinkToFit="0" wrapText="0"/>
    </xf>
    <xf borderId="15" fillId="5" fontId="12" numFmtId="0" xfId="0" applyAlignment="1" applyBorder="1" applyFill="1" applyFont="1">
      <alignment shrinkToFit="0" wrapText="0"/>
    </xf>
    <xf borderId="15" fillId="5" fontId="26" numFmtId="0" xfId="0" applyBorder="1" applyFill="1" applyFont="1"/>
    <xf borderId="15" fillId="5" fontId="12" numFmtId="0" xfId="0" applyAlignment="1" applyBorder="1" applyFill="1" applyFont="1">
      <alignment horizontal="right" shrinkToFit="0" wrapText="0"/>
    </xf>
    <xf borderId="15" fillId="5" fontId="40" numFmtId="0" xfId="0" applyAlignment="1" applyBorder="1" applyFill="1" applyFont="1">
      <alignment shrinkToFit="0" wrapText="0"/>
    </xf>
    <xf borderId="19" fillId="5" fontId="41" numFmtId="0" xfId="0" applyAlignment="1" applyBorder="1" applyFill="1" applyFont="1">
      <alignment shrinkToFit="0"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original-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47:W48" displayName="Table_1" name="Table_1" id="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origina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mailto:adominguez@beinn.es" TargetMode="External"/><Relationship Id="rId42" Type="http://schemas.openxmlformats.org/officeDocument/2006/relationships/hyperlink" Target="mailto:bustosdaniel73@gmail.com" TargetMode="External"/><Relationship Id="rId41" Type="http://schemas.openxmlformats.org/officeDocument/2006/relationships/hyperlink" Target="https://www.linkedin.com/in/anabeldominguezpardo/" TargetMode="External"/><Relationship Id="rId44" Type="http://schemas.openxmlformats.org/officeDocument/2006/relationships/hyperlink" Target="mailto:mbenitezcodas@gmail.com" TargetMode="External"/><Relationship Id="rId43" Type="http://schemas.openxmlformats.org/officeDocument/2006/relationships/hyperlink" Target="http://www.linkedin.com/in/daniel-bustos-valdivieso-376166" TargetMode="External"/><Relationship Id="rId46" Type="http://schemas.openxmlformats.org/officeDocument/2006/relationships/hyperlink" Target="mailto:ilmunoz@icesi.edu.co" TargetMode="External"/><Relationship Id="rId45" Type="http://schemas.openxmlformats.org/officeDocument/2006/relationships/hyperlink" Target="https://www.linkedin.com/in/manuel-benitez-codas-704a864/" TargetMode="External"/><Relationship Id="rId1" Type="http://schemas.openxmlformats.org/officeDocument/2006/relationships/hyperlink" Target="mailto:steeven.apaza@gmail.com" TargetMode="External"/><Relationship Id="rId2" Type="http://schemas.openxmlformats.org/officeDocument/2006/relationships/hyperlink" Target="https://www.linkedin.com/in/steevenapazahinojosa?utm_source=share_via&amp;utm_content=profile&amp;utm_medium=member_ios" TargetMode="External"/><Relationship Id="rId3" Type="http://schemas.openxmlformats.org/officeDocument/2006/relationships/hyperlink" Target="mailto:sergiolo.antequera@gmail.com" TargetMode="External"/><Relationship Id="rId4" Type="http://schemas.openxmlformats.org/officeDocument/2006/relationships/hyperlink" Target="https://www.linkedin.com/in/sergiolo/" TargetMode="External"/><Relationship Id="rId9" Type="http://schemas.openxmlformats.org/officeDocument/2006/relationships/hyperlink" Target="mailto:jorge.valdex@mx.proyectum.com" TargetMode="External"/><Relationship Id="rId48" Type="http://schemas.openxmlformats.org/officeDocument/2006/relationships/hyperlink" Target="mailto:mdelsouc@leadconsultora.com" TargetMode="External"/><Relationship Id="rId47" Type="http://schemas.openxmlformats.org/officeDocument/2006/relationships/hyperlink" Target="https://www.linkedin.com/in/ingrid-lucia-munoz/" TargetMode="External"/><Relationship Id="rId49" Type="http://schemas.openxmlformats.org/officeDocument/2006/relationships/hyperlink" Target="http://www.linkedin.com/in/monica-delsouc-63130149" TargetMode="External"/><Relationship Id="rId5" Type="http://schemas.openxmlformats.org/officeDocument/2006/relationships/hyperlink" Target="mailto:romulo.lomparte@yahoo.com" TargetMode="External"/><Relationship Id="rId6" Type="http://schemas.openxmlformats.org/officeDocument/2006/relationships/hyperlink" Target="https://www.linkedin.com/in/romulo-lomparte/" TargetMode="External"/><Relationship Id="rId7" Type="http://schemas.openxmlformats.org/officeDocument/2006/relationships/hyperlink" Target="mailto:alex@proyecta.lat" TargetMode="External"/><Relationship Id="rId8" Type="http://schemas.openxmlformats.org/officeDocument/2006/relationships/hyperlink" Target="https://www.linkedin.com/in/alexanderpaez/" TargetMode="External"/><Relationship Id="rId73" Type="http://schemas.openxmlformats.org/officeDocument/2006/relationships/hyperlink" Target="mailto:luisgtz2@gmail.com" TargetMode="External"/><Relationship Id="rId72" Type="http://schemas.openxmlformats.org/officeDocument/2006/relationships/hyperlink" Target="mailto:nathalie.f.altez@gmail.com" TargetMode="External"/><Relationship Id="rId31" Type="http://schemas.openxmlformats.org/officeDocument/2006/relationships/hyperlink" Target="https://www.linkedin.com/in/eddi-rodas/" TargetMode="External"/><Relationship Id="rId75" Type="http://schemas.openxmlformats.org/officeDocument/2006/relationships/hyperlink" Target="mailto:gabriela@gutierrezcoaching.com" TargetMode="External"/><Relationship Id="rId30" Type="http://schemas.openxmlformats.org/officeDocument/2006/relationships/hyperlink" Target="mailto:erodas@gestumtotal.com" TargetMode="External"/><Relationship Id="rId74" Type="http://schemas.openxmlformats.org/officeDocument/2006/relationships/hyperlink" Target="http://www.linkedin.com/in/luis-gutierrez-324b001a" TargetMode="External"/><Relationship Id="rId33" Type="http://schemas.openxmlformats.org/officeDocument/2006/relationships/hyperlink" Target="http://www.linkedin.com/in/drtonyprensa" TargetMode="External"/><Relationship Id="rId77" Type="http://schemas.openxmlformats.org/officeDocument/2006/relationships/hyperlink" Target="http://linkedin.com/in/nelia-ponte" TargetMode="External"/><Relationship Id="rId32" Type="http://schemas.openxmlformats.org/officeDocument/2006/relationships/hyperlink" Target="mailto:drtonyprensa@gmail.com" TargetMode="External"/><Relationship Id="rId76" Type="http://schemas.openxmlformats.org/officeDocument/2006/relationships/hyperlink" Target="http://www.linkedin.com/in/gabrielagutierrez" TargetMode="External"/><Relationship Id="rId35" Type="http://schemas.openxmlformats.org/officeDocument/2006/relationships/hyperlink" Target="https://www.linkedin.com/in/santiagoarmas/" TargetMode="External"/><Relationship Id="rId34" Type="http://schemas.openxmlformats.org/officeDocument/2006/relationships/hyperlink" Target="mailto:sant_armas@yahoo.es" TargetMode="External"/><Relationship Id="rId78" Type="http://schemas.openxmlformats.org/officeDocument/2006/relationships/drawing" Target="../drawings/drawing3.xml"/><Relationship Id="rId71" Type="http://schemas.openxmlformats.org/officeDocument/2006/relationships/hyperlink" Target="https://www.linkedin.com/in/carolina-herrera-solera/" TargetMode="External"/><Relationship Id="rId70" Type="http://schemas.openxmlformats.org/officeDocument/2006/relationships/hyperlink" Target="mailto:cherrerasolera@gmail.com" TargetMode="External"/><Relationship Id="rId37" Type="http://schemas.openxmlformats.org/officeDocument/2006/relationships/hyperlink" Target="https://es.linkedin.com/posts/jos%C3%A9-miguel-reyes-15a38a62_casi-4-a%C3%B1os-desde-que-se-cre%C3%B3-certificate-activity-7235088263013675008-08Pi" TargetMode="External"/><Relationship Id="rId36" Type="http://schemas.openxmlformats.org/officeDocument/2006/relationships/hyperlink" Target="mailto:administracion@pcertificate.com" TargetMode="External"/><Relationship Id="rId39" Type="http://schemas.openxmlformats.org/officeDocument/2006/relationships/hyperlink" Target="https://www.linkedin.com/in/sergio-candelo/" TargetMode="External"/><Relationship Id="rId38" Type="http://schemas.openxmlformats.org/officeDocument/2006/relationships/hyperlink" Target="mailto:scandelo@gmail.com" TargetMode="External"/><Relationship Id="rId62" Type="http://schemas.openxmlformats.org/officeDocument/2006/relationships/hyperlink" Target="mailto:irinacelly@hotmail.com" TargetMode="External"/><Relationship Id="rId61" Type="http://schemas.openxmlformats.org/officeDocument/2006/relationships/hyperlink" Target="https://www.linkedin.com/in/carlos-daniel-briceno-burgos/" TargetMode="External"/><Relationship Id="rId20" Type="http://schemas.openxmlformats.org/officeDocument/2006/relationships/hyperlink" Target="https://www.linkedin.com/in/jonatanfierro" TargetMode="External"/><Relationship Id="rId64" Type="http://schemas.openxmlformats.org/officeDocument/2006/relationships/hyperlink" Target="mailto:fabian@scrumnetwork.com" TargetMode="External"/><Relationship Id="rId63" Type="http://schemas.openxmlformats.org/officeDocument/2006/relationships/hyperlink" Target="https://www.linkedin.com/in/irinacelly?utm_source=share_via&amp;utm_content=profile&amp;utm_medium=member_ios" TargetMode="External"/><Relationship Id="rId22" Type="http://schemas.openxmlformats.org/officeDocument/2006/relationships/hyperlink" Target="https://www.linkedin.com/in/marco-arellano-phd-pmp/" TargetMode="External"/><Relationship Id="rId66" Type="http://schemas.openxmlformats.org/officeDocument/2006/relationships/hyperlink" Target="mailto:postgrado777@gmail.com" TargetMode="External"/><Relationship Id="rId21" Type="http://schemas.openxmlformats.org/officeDocument/2006/relationships/hyperlink" Target="mailto:arellano_marco@yahoo.com" TargetMode="External"/><Relationship Id="rId65" Type="http://schemas.openxmlformats.org/officeDocument/2006/relationships/hyperlink" Target="http://www.linkedin.com/in/fabianschwartz" TargetMode="External"/><Relationship Id="rId24" Type="http://schemas.openxmlformats.org/officeDocument/2006/relationships/hyperlink" Target="https://www.linkedin.com/in/tanyshka-lewis-a05616352/" TargetMode="External"/><Relationship Id="rId68" Type="http://schemas.openxmlformats.org/officeDocument/2006/relationships/hyperlink" Target="mailto:gustavo.conejo@pmicr.org" TargetMode="External"/><Relationship Id="rId23" Type="http://schemas.openxmlformats.org/officeDocument/2006/relationships/hyperlink" Target="mailto:tanyshkalewis1105@gmail.com" TargetMode="External"/><Relationship Id="rId67" Type="http://schemas.openxmlformats.org/officeDocument/2006/relationships/hyperlink" Target="http://www.linkedin.com/in/ijmendozam" TargetMode="External"/><Relationship Id="rId60" Type="http://schemas.openxmlformats.org/officeDocument/2006/relationships/hyperlink" Target="mailto:carlos.briceno@pminorteperu.org" TargetMode="External"/><Relationship Id="rId26" Type="http://schemas.openxmlformats.org/officeDocument/2006/relationships/hyperlink" Target="https://linkedin.com/in/erikchaconp" TargetMode="External"/><Relationship Id="rId25" Type="http://schemas.openxmlformats.org/officeDocument/2006/relationships/hyperlink" Target="mailto:echaconp@uni.pe" TargetMode="External"/><Relationship Id="rId69" Type="http://schemas.openxmlformats.org/officeDocument/2006/relationships/hyperlink" Target="http://linkedin.com/in/gustavo-conejo-a57334124" TargetMode="External"/><Relationship Id="rId28" Type="http://schemas.openxmlformats.org/officeDocument/2006/relationships/hyperlink" Target="https://www.linkedin.com/in/pmptraining" TargetMode="External"/><Relationship Id="rId27" Type="http://schemas.openxmlformats.org/officeDocument/2006/relationships/hyperlink" Target="mailto:enriqueapa@gmail.com" TargetMode="External"/><Relationship Id="rId29" Type="http://schemas.openxmlformats.org/officeDocument/2006/relationships/hyperlink" Target="mailto:ariel.rizzi@consultoraAgilarg.com" TargetMode="External"/><Relationship Id="rId51" Type="http://schemas.openxmlformats.org/officeDocument/2006/relationships/hyperlink" Target="http://www.linkedin.com/in/yaravi-cardoze" TargetMode="External"/><Relationship Id="rId50" Type="http://schemas.openxmlformats.org/officeDocument/2006/relationships/hyperlink" Target="mailto:yaravi@BoD-Advisors.com" TargetMode="External"/><Relationship Id="rId53" Type="http://schemas.openxmlformats.org/officeDocument/2006/relationships/hyperlink" Target="https://www.linkedin.com/in/shogun-shimose/" TargetMode="External"/><Relationship Id="rId52" Type="http://schemas.openxmlformats.org/officeDocument/2006/relationships/hyperlink" Target="mailto:shogun.shimose@gmail.com" TargetMode="External"/><Relationship Id="rId11" Type="http://schemas.openxmlformats.org/officeDocument/2006/relationships/hyperlink" Target="mailto:cahugomez@gmail.com" TargetMode="External"/><Relationship Id="rId55" Type="http://schemas.openxmlformats.org/officeDocument/2006/relationships/hyperlink" Target="http://www.linkedin.com/in/stalinrivas" TargetMode="External"/><Relationship Id="rId10" Type="http://schemas.openxmlformats.org/officeDocument/2006/relationships/hyperlink" Target="https://www.linkedin.com/in/jorgevaldex/" TargetMode="External"/><Relationship Id="rId54" Type="http://schemas.openxmlformats.org/officeDocument/2006/relationships/hyperlink" Target="mailto:stalin.rivas@gmail.com" TargetMode="External"/><Relationship Id="rId13" Type="http://schemas.openxmlformats.org/officeDocument/2006/relationships/hyperlink" Target="mailto:carlos.ruiz@opexonlineacademy.org" TargetMode="External"/><Relationship Id="rId57" Type="http://schemas.openxmlformats.org/officeDocument/2006/relationships/hyperlink" Target="http://www.linkedin.com/in/rene-neira-mba-pmp/" TargetMode="External"/><Relationship Id="rId12" Type="http://schemas.openxmlformats.org/officeDocument/2006/relationships/hyperlink" Target="https://www.linkedin.com/in/carlos-humberto-gomez-cahugomez?utm_source=share_via&amp;utm_content=profile&amp;utm_medium=member_android" TargetMode="External"/><Relationship Id="rId56" Type="http://schemas.openxmlformats.org/officeDocument/2006/relationships/hyperlink" Target="mailto:rene.neira.marin@gmail.com" TargetMode="External"/><Relationship Id="rId15" Type="http://schemas.openxmlformats.org/officeDocument/2006/relationships/hyperlink" Target="mailto:nrodriguez@tetraimpacts.com" TargetMode="External"/><Relationship Id="rId59" Type="http://schemas.openxmlformats.org/officeDocument/2006/relationships/hyperlink" Target="https://www.linkedin.com/in/carlos-schellenberg" TargetMode="External"/><Relationship Id="rId14" Type="http://schemas.openxmlformats.org/officeDocument/2006/relationships/hyperlink" Target="https://www.linkedin.com/in/cjrz-mbb" TargetMode="External"/><Relationship Id="rId58" Type="http://schemas.openxmlformats.org/officeDocument/2006/relationships/hyperlink" Target="mailto:Carlos.Schellenberg@evolutionconsultora.com" TargetMode="External"/><Relationship Id="rId17" Type="http://schemas.openxmlformats.org/officeDocument/2006/relationships/hyperlink" Target="mailto:lacevedoa@unitru.edu.pe" TargetMode="External"/><Relationship Id="rId16" Type="http://schemas.openxmlformats.org/officeDocument/2006/relationships/hyperlink" Target="https://www.linkedin.com/in/noel-rodriguez-tetraimpacts?utm_source=share_via&amp;utm_content=profile&amp;utm_medium=member_ios" TargetMode="External"/><Relationship Id="rId19" Type="http://schemas.openxmlformats.org/officeDocument/2006/relationships/hyperlink" Target="mailto:jonatanfierro@gmail.com" TargetMode="External"/><Relationship Id="rId18" Type="http://schemas.openxmlformats.org/officeDocument/2006/relationships/hyperlink" Target="https://www.linkedin.com/in/aliciaacevedoavila/"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open?id=1z9wcWFweLZIJraQsz585zoIBQaPCVzOA" TargetMode="External"/><Relationship Id="rId42" Type="http://schemas.openxmlformats.org/officeDocument/2006/relationships/hyperlink" Target="https://www.linkedin.com/in/jonatanfierro" TargetMode="External"/><Relationship Id="rId41" Type="http://schemas.openxmlformats.org/officeDocument/2006/relationships/hyperlink" Target="https://drive.google.com/open?id=1Zb-eD9T3yQIwnwFRgQCekM5_s-1_r-b7" TargetMode="External"/><Relationship Id="rId44" Type="http://schemas.openxmlformats.org/officeDocument/2006/relationships/hyperlink" Target="https://drive.google.com/open?id=1WQwHiBooaphHFYNeR-wzZyu5KDxwlTQn" TargetMode="External"/><Relationship Id="rId43" Type="http://schemas.openxmlformats.org/officeDocument/2006/relationships/hyperlink" Target="https://drive.google.com/open?id=1sS7u_q4_5xu6XQ3ePDrN3Q_46lGACB7p" TargetMode="External"/><Relationship Id="rId46" Type="http://schemas.openxmlformats.org/officeDocument/2006/relationships/hyperlink" Target="https://www.linkedin.com/in/marco-arellano-phd-pmp/" TargetMode="External"/><Relationship Id="rId45" Type="http://schemas.openxmlformats.org/officeDocument/2006/relationships/hyperlink" Target="https://pmisantacruz.org/" TargetMode="External"/><Relationship Id="rId107" Type="http://schemas.openxmlformats.org/officeDocument/2006/relationships/hyperlink" Target="http://www.linkedin.com/in/yaravi-cardoze" TargetMode="External"/><Relationship Id="rId106" Type="http://schemas.openxmlformats.org/officeDocument/2006/relationships/hyperlink" Target="https://bod-advisors.com/" TargetMode="External"/><Relationship Id="rId105" Type="http://schemas.openxmlformats.org/officeDocument/2006/relationships/hyperlink" Target="https://drive.google.com/open?id=1zgM28Lk_jQ86F5HfkTJuTTOQDkLslsGK" TargetMode="External"/><Relationship Id="rId104" Type="http://schemas.openxmlformats.org/officeDocument/2006/relationships/hyperlink" Target="https://drive.google.com/open?id=1aSN-CK5goy0HekSfRPh_F5iA5YY5toRy" TargetMode="External"/><Relationship Id="rId109" Type="http://schemas.openxmlformats.org/officeDocument/2006/relationships/hyperlink" Target="https://drive.google.com/open?id=1m3Euava44tX9qYpNggWSupSjIerR1mbU" TargetMode="External"/><Relationship Id="rId108" Type="http://schemas.openxmlformats.org/officeDocument/2006/relationships/hyperlink" Target="https://drive.google.com/open?id=1HtQ5GliZ8iRlJajWWX3ZFtTV76JI3456" TargetMode="External"/><Relationship Id="rId48" Type="http://schemas.openxmlformats.org/officeDocument/2006/relationships/hyperlink" Target="https://drive.google.com/open?id=1aP34hMhsWGWBXh-9NrgTMeicuOzaFEP1" TargetMode="External"/><Relationship Id="rId47" Type="http://schemas.openxmlformats.org/officeDocument/2006/relationships/hyperlink" Target="https://drive.google.com/open?id=1YCGT6TKvTNliZGNw49fXO-eYFArsKE0a" TargetMode="External"/><Relationship Id="rId49" Type="http://schemas.openxmlformats.org/officeDocument/2006/relationships/hyperlink" Target="https://www.linkedin.com/in/tanyshka-lewis-a05616352/" TargetMode="External"/><Relationship Id="rId103" Type="http://schemas.openxmlformats.org/officeDocument/2006/relationships/hyperlink" Target="http://www.linkedin.com/in/monica-delsouc-63130149" TargetMode="External"/><Relationship Id="rId102" Type="http://schemas.openxmlformats.org/officeDocument/2006/relationships/hyperlink" Target="http://www.leadconsultora.com" TargetMode="External"/><Relationship Id="rId101" Type="http://schemas.openxmlformats.org/officeDocument/2006/relationships/hyperlink" Target="https://drive.google.com/open?id=1UemDWP_x91uY6YvVeOUPUhKbzWQMtq2x" TargetMode="External"/><Relationship Id="rId100" Type="http://schemas.openxmlformats.org/officeDocument/2006/relationships/hyperlink" Target="https://drive.google.com/open?id=181WlZQeuM9HoKOJ2DKxWeE1ZE290MZZW" TargetMode="External"/><Relationship Id="rId31" Type="http://schemas.openxmlformats.org/officeDocument/2006/relationships/hyperlink" Target="https://tetraimpacts.com/" TargetMode="External"/><Relationship Id="rId30" Type="http://schemas.openxmlformats.org/officeDocument/2006/relationships/hyperlink" Target="https://drive.google.com/open?id=1tU4h_upDXxMq8Ahi0f_JkePID0gfirox" TargetMode="External"/><Relationship Id="rId33" Type="http://schemas.openxmlformats.org/officeDocument/2006/relationships/hyperlink" Target="https://drive.google.com/open?id=1TvqtBbtUqbmxY3NnrsKqcu0hedeb2uh5" TargetMode="External"/><Relationship Id="rId32" Type="http://schemas.openxmlformats.org/officeDocument/2006/relationships/hyperlink" Target="https://www.linkedin.com/in/noel-rodriguez-tetraimpacts?utm_source=share_via&amp;utm_content=profile&amp;utm_medium=member_ios" TargetMode="External"/><Relationship Id="rId35" Type="http://schemas.openxmlformats.org/officeDocument/2006/relationships/hyperlink" Target="https://www.linkedin.com/in/jorgemendezayala/" TargetMode="External"/><Relationship Id="rId34" Type="http://schemas.openxmlformats.org/officeDocument/2006/relationships/hyperlink" Target="https://drive.google.com/open?id=1hNNzIwUEjblA4az73EL0r_FJ2Yqtr9mx" TargetMode="External"/><Relationship Id="rId37" Type="http://schemas.openxmlformats.org/officeDocument/2006/relationships/hyperlink" Target="https://drive.google.com/open?id=1ZLLEtwVdgntnyl6si5DxOmE1ryi3m839" TargetMode="External"/><Relationship Id="rId36" Type="http://schemas.openxmlformats.org/officeDocument/2006/relationships/hyperlink" Target="https://drive.google.com/open?id=1F9Abmh2S015N69A6JtQAC6W8O5T1k6he" TargetMode="External"/><Relationship Id="rId39" Type="http://schemas.openxmlformats.org/officeDocument/2006/relationships/hyperlink" Target="https://www.linkedin.com/in/aliciaacevedoavila/" TargetMode="External"/><Relationship Id="rId38" Type="http://schemas.openxmlformats.org/officeDocument/2006/relationships/hyperlink" Target="https://www.santander.com/es/" TargetMode="External"/><Relationship Id="rId20" Type="http://schemas.openxmlformats.org/officeDocument/2006/relationships/hyperlink" Target="https://www.linkedin.com/in/jorgevaldex/" TargetMode="External"/><Relationship Id="rId22" Type="http://schemas.openxmlformats.org/officeDocument/2006/relationships/hyperlink" Target="https://drive.google.com/open?id=1PTeTUQJJZ7x_vLVTcqiWHYENzTqrV2LS" TargetMode="External"/><Relationship Id="rId21" Type="http://schemas.openxmlformats.org/officeDocument/2006/relationships/hyperlink" Target="https://drive.google.com/open?id=1cVZFwfr2vdmfbiYO6G6PGHVgrDXamc6K" TargetMode="External"/><Relationship Id="rId24" Type="http://schemas.openxmlformats.org/officeDocument/2006/relationships/hyperlink" Target="https://www.linkedin.com/in/carlos-humberto-gomez-cahugomez?utm_source=share_via&amp;utm_content=profile&amp;utm_medium=member_android" TargetMode="External"/><Relationship Id="rId23" Type="http://schemas.openxmlformats.org/officeDocument/2006/relationships/hyperlink" Target="https://www.grupocoomeva.com/" TargetMode="External"/><Relationship Id="rId129" Type="http://schemas.openxmlformats.org/officeDocument/2006/relationships/hyperlink" Target="https://www.scrumnetwork.com" TargetMode="External"/><Relationship Id="rId128" Type="http://schemas.openxmlformats.org/officeDocument/2006/relationships/hyperlink" Target="https://drive.google.com/open?id=1PJsuX_T0m-3amYCRe8luQoIWL4KFAHVB" TargetMode="External"/><Relationship Id="rId127" Type="http://schemas.openxmlformats.org/officeDocument/2006/relationships/hyperlink" Target="https://www.linkedin.com/in/irinacelly?utm_source=share_via&amp;utm_content=profile&amp;utm_medium=member_ios" TargetMode="External"/><Relationship Id="rId126" Type="http://schemas.openxmlformats.org/officeDocument/2006/relationships/hyperlink" Target="https://drive.google.com/open?id=1QCCTHo-pos48JN5qvXbse7HXAL9hYmZX" TargetMode="External"/><Relationship Id="rId26" Type="http://schemas.openxmlformats.org/officeDocument/2006/relationships/hyperlink" Target="https://drive.google.com/open?id=1EDcaAF8dSGtU6SYZsXlmAwXqKxiIZbx0" TargetMode="External"/><Relationship Id="rId121" Type="http://schemas.openxmlformats.org/officeDocument/2006/relationships/hyperlink" Target="https://www.linkedin.com/in/carlos-schellenberg" TargetMode="External"/><Relationship Id="rId25" Type="http://schemas.openxmlformats.org/officeDocument/2006/relationships/hyperlink" Target="https://drive.google.com/open?id=1tSR2RgnpP0C-9YxuM3UWzDmt9D4nF9-I" TargetMode="External"/><Relationship Id="rId120" Type="http://schemas.openxmlformats.org/officeDocument/2006/relationships/hyperlink" Target="https://drive.google.com/open?id=1KHE_CueSWOxsGDciKO6aD09YBH87iiHe" TargetMode="External"/><Relationship Id="rId28" Type="http://schemas.openxmlformats.org/officeDocument/2006/relationships/hyperlink" Target="https://www.linkedin.com/in/cjrz-mbb" TargetMode="External"/><Relationship Id="rId27" Type="http://schemas.openxmlformats.org/officeDocument/2006/relationships/hyperlink" Target="https://www.opexonlineacademy.org" TargetMode="External"/><Relationship Id="rId125" Type="http://schemas.openxmlformats.org/officeDocument/2006/relationships/hyperlink" Target="https://drive.google.com/open?id=1_eO2s-JMMSjYOOI8FiCDLIyjfCdRRBpt" TargetMode="External"/><Relationship Id="rId29" Type="http://schemas.openxmlformats.org/officeDocument/2006/relationships/hyperlink" Target="https://drive.google.com/open?id=1pVI9H_6CTsLkjnNnTOOXNCZv6yWrzCxB" TargetMode="External"/><Relationship Id="rId124" Type="http://schemas.openxmlformats.org/officeDocument/2006/relationships/hyperlink" Target="https://www.linkedin.com/in/carlos-daniel-briceno-burgos/" TargetMode="External"/><Relationship Id="rId123" Type="http://schemas.openxmlformats.org/officeDocument/2006/relationships/hyperlink" Target="https://drive.google.com/open?id=1eOPF-RS8_yDvfOqt7aqiNdOs4Ho3vz0e" TargetMode="External"/><Relationship Id="rId122" Type="http://schemas.openxmlformats.org/officeDocument/2006/relationships/hyperlink" Target="https://drive.google.com/open?id=1XF_5sCEOBU-ewSOdwAvJ0Vp8A5rLwxTD" TargetMode="External"/><Relationship Id="rId95" Type="http://schemas.openxmlformats.org/officeDocument/2006/relationships/hyperlink" Target="https://www.linkedin.com/in/manuel-benitez-codas-704a864/" TargetMode="External"/><Relationship Id="rId94" Type="http://schemas.openxmlformats.org/officeDocument/2006/relationships/hyperlink" Target="https://drive.google.com/open?id=1VbhkpDQaU7hoaOyG3NrADi06H0iYDZ06" TargetMode="External"/><Relationship Id="rId97" Type="http://schemas.openxmlformats.org/officeDocument/2006/relationships/hyperlink" Target="https://drive.google.com/open?id=1g-z3i8hi26kZm86d2b2NFD_jHHywZ9Ko" TargetMode="External"/><Relationship Id="rId96" Type="http://schemas.openxmlformats.org/officeDocument/2006/relationships/hyperlink" Target="https://drive.google.com/open?id=1fJq2fTm1imqI8JyMbVZ16rutP6D0EpNV" TargetMode="External"/><Relationship Id="rId11" Type="http://schemas.openxmlformats.org/officeDocument/2006/relationships/hyperlink" Target="https://drive.google.com/open?id=1E7MxvkrOoXfeJXgJUbS6LkeWWFlSlen-" TargetMode="External"/><Relationship Id="rId99" Type="http://schemas.openxmlformats.org/officeDocument/2006/relationships/hyperlink" Target="https://www.linkedin.com/in/ingrid-lucia-munoz/" TargetMode="External"/><Relationship Id="rId10" Type="http://schemas.openxmlformats.org/officeDocument/2006/relationships/hyperlink" Target="https://www.linkedin.com/in/gabriel-giraldo2025/" TargetMode="External"/><Relationship Id="rId98" Type="http://schemas.openxmlformats.org/officeDocument/2006/relationships/hyperlink" Target="http://www.icesi.edu.co" TargetMode="External"/><Relationship Id="rId13" Type="http://schemas.openxmlformats.org/officeDocument/2006/relationships/hyperlink" Target="https://www.linkedin.com/in/romulo-lomparte/" TargetMode="External"/><Relationship Id="rId12" Type="http://schemas.openxmlformats.org/officeDocument/2006/relationships/hyperlink" Target="https://drive.google.com/open?id=1vZyrQQgjoFUP8I90jwuxLejtZRCcATVP" TargetMode="External"/><Relationship Id="rId91" Type="http://schemas.openxmlformats.org/officeDocument/2006/relationships/hyperlink" Target="https://drive.google.com/open?id=173JA4Hy9XNvqrXmkSwR8DWJAYEiBqlLT" TargetMode="External"/><Relationship Id="rId90" Type="http://schemas.openxmlformats.org/officeDocument/2006/relationships/hyperlink" Target="https://drive.google.com/open?id=1A8KnEdI0Ay-ra6sUrK3q21QY5dN1jKnG" TargetMode="External"/><Relationship Id="rId93" Type="http://schemas.openxmlformats.org/officeDocument/2006/relationships/hyperlink" Target="https://drive.google.com/open?id=1fKnswsqdZVcW2bg301qnOlUKU_LnKezB" TargetMode="External"/><Relationship Id="rId92" Type="http://schemas.openxmlformats.org/officeDocument/2006/relationships/hyperlink" Target="http://www.linkedin.com/in/daniel-bustos-valdivieso-376166" TargetMode="External"/><Relationship Id="rId118" Type="http://schemas.openxmlformats.org/officeDocument/2006/relationships/hyperlink" Target="http://www.linkedin.com/in/rene-neira-mba-pmp/" TargetMode="External"/><Relationship Id="rId117" Type="http://schemas.openxmlformats.org/officeDocument/2006/relationships/hyperlink" Target="https://drive.google.com/open?id=1V0sfpJjq8qUGUQdFR-OHDIpNoGVhaZ-J" TargetMode="External"/><Relationship Id="rId116" Type="http://schemas.openxmlformats.org/officeDocument/2006/relationships/hyperlink" Target="https://drive.google.com/open?id=1ifubSjK_rgUvKeOAITIb4Qpi9e0TYyfe" TargetMode="External"/><Relationship Id="rId115" Type="http://schemas.openxmlformats.org/officeDocument/2006/relationships/hyperlink" Target="http://www.linkedin.com/in/stalinrivas" TargetMode="External"/><Relationship Id="rId119" Type="http://schemas.openxmlformats.org/officeDocument/2006/relationships/hyperlink" Target="https://drive.google.com/open?id=1o3v_vNmNOeyCKxXfDuB9WuLeuI3e5J8a" TargetMode="External"/><Relationship Id="rId15" Type="http://schemas.openxmlformats.org/officeDocument/2006/relationships/hyperlink" Target="https://drive.google.com/open?id=1awz286dpSvL5FSW5cwCotz_e63QRcu0h" TargetMode="External"/><Relationship Id="rId110" Type="http://schemas.openxmlformats.org/officeDocument/2006/relationships/hyperlink" Target="https://www.minerasancristobal.com/v3/es/" TargetMode="External"/><Relationship Id="rId14" Type="http://schemas.openxmlformats.org/officeDocument/2006/relationships/hyperlink" Target="https://drive.google.com/open?id=1p2JIie8LRla3o3sEe_M-N26tJT93BzxZ" TargetMode="External"/><Relationship Id="rId17" Type="http://schemas.openxmlformats.org/officeDocument/2006/relationships/hyperlink" Target="https://drive.google.com/open?id=1kydZrxTXMk2hjN-wROKq9-euh4h5yejp" TargetMode="External"/><Relationship Id="rId16" Type="http://schemas.openxmlformats.org/officeDocument/2006/relationships/hyperlink" Target="https://www.linkedin.com/in/alexanderpaez/" TargetMode="External"/><Relationship Id="rId19" Type="http://schemas.openxmlformats.org/officeDocument/2006/relationships/hyperlink" Target="http://www.proyectum.com/mx" TargetMode="External"/><Relationship Id="rId114" Type="http://schemas.openxmlformats.org/officeDocument/2006/relationships/hyperlink" Target="http://www.insoltech.net" TargetMode="External"/><Relationship Id="rId18" Type="http://schemas.openxmlformats.org/officeDocument/2006/relationships/hyperlink" Target="https://drive.google.com/open?id=1qr1r6zuZGG5v9QdvVr6LAjAruoZgZHMd" TargetMode="External"/><Relationship Id="rId113" Type="http://schemas.openxmlformats.org/officeDocument/2006/relationships/hyperlink" Target="https://drive.google.com/open?id=1sCVMDhUe216n9SBnyFxpc3tOiI0q_tsC" TargetMode="External"/><Relationship Id="rId112" Type="http://schemas.openxmlformats.org/officeDocument/2006/relationships/hyperlink" Target="https://drive.google.com/open?id=18_hWMO6lN9aUweNPdX_J6hOJbjZkv2MX" TargetMode="External"/><Relationship Id="rId111" Type="http://schemas.openxmlformats.org/officeDocument/2006/relationships/hyperlink" Target="https://www.linkedin.com/in/shogun-shimose/" TargetMode="External"/><Relationship Id="rId84" Type="http://schemas.openxmlformats.org/officeDocument/2006/relationships/hyperlink" Target="https://drive.google.com/open?id=1p0s0pA1g73SvNM3OOjmccN2uEdA8BjDT" TargetMode="External"/><Relationship Id="rId83" Type="http://schemas.openxmlformats.org/officeDocument/2006/relationships/hyperlink" Target="https://drive.google.com/open?id=1HRgG6nnIxsXBEpSHHWFr8go38KKX_a0n" TargetMode="External"/><Relationship Id="rId86" Type="http://schemas.openxmlformats.org/officeDocument/2006/relationships/hyperlink" Target="https://www.linkedin.com/in/ing-pedro-luis-valda-vega-9289b2189/" TargetMode="External"/><Relationship Id="rId85" Type="http://schemas.openxmlformats.org/officeDocument/2006/relationships/hyperlink" Target="https://www.gmsantacruz.gob.bo/" TargetMode="External"/><Relationship Id="rId88" Type="http://schemas.openxmlformats.org/officeDocument/2006/relationships/hyperlink" Target="https://drive.google.com/open?id=1RtTKJzDUvvE5JG5eYemX8upLODD68ksN" TargetMode="External"/><Relationship Id="rId150" Type="http://schemas.openxmlformats.org/officeDocument/2006/relationships/hyperlink" Target="http://www.linkedin.com/in/gabrielagutierrez" TargetMode="External"/><Relationship Id="rId87" Type="http://schemas.openxmlformats.org/officeDocument/2006/relationships/hyperlink" Target="https://drive.google.com/open?id=1J0HB2KgLaVPImYrnDynXg1LNbd-kthOu" TargetMode="External"/><Relationship Id="rId89" Type="http://schemas.openxmlformats.org/officeDocument/2006/relationships/hyperlink" Target="https://www.linkedin.com/in/anabeldominguezpardo/" TargetMode="External"/><Relationship Id="rId80" Type="http://schemas.openxmlformats.org/officeDocument/2006/relationships/hyperlink" Target="https://drive.google.com/open?id=1y8L0bmgzDfwCy4DT43-Iz4yKpz1QsvwL" TargetMode="External"/><Relationship Id="rId82" Type="http://schemas.openxmlformats.org/officeDocument/2006/relationships/hyperlink" Target="https://www.linkedin.com/in/sergio-candelo/" TargetMode="External"/><Relationship Id="rId81" Type="http://schemas.openxmlformats.org/officeDocument/2006/relationships/hyperlink" Target="http://www.snoopconsulting.com" TargetMode="External"/><Relationship Id="rId1" Type="http://schemas.openxmlformats.org/officeDocument/2006/relationships/hyperlink" Target="http://www.apg-consulting.com" TargetMode="External"/><Relationship Id="rId2" Type="http://schemas.openxmlformats.org/officeDocument/2006/relationships/hyperlink" Target="https://www.linkedin.com/in/steevenapazahinojosa?utm_source=share_via&amp;utm_content=profile&amp;utm_medium=member_ios" TargetMode="External"/><Relationship Id="rId3" Type="http://schemas.openxmlformats.org/officeDocument/2006/relationships/hyperlink" Target="https://drive.google.com/open?id=1asyAcrzmgp0csxC8eDDagxcnb8pg-PiI" TargetMode="External"/><Relationship Id="rId149" Type="http://schemas.openxmlformats.org/officeDocument/2006/relationships/hyperlink" Target="https://drive.google.com/open?id=11O3aLjEJjaKP9Q3opPPJlBfbUGk7cjaw" TargetMode="External"/><Relationship Id="rId4" Type="http://schemas.openxmlformats.org/officeDocument/2006/relationships/hyperlink" Target="https://drive.google.com/open?id=1xFceahycbOElhCP8Oznl0w6hQILWrPQu" TargetMode="External"/><Relationship Id="rId148" Type="http://schemas.openxmlformats.org/officeDocument/2006/relationships/hyperlink" Target="https://drive.google.com/open?id=17X4V_znSj8dlVOi2U90253lsL4Of_SQf" TargetMode="External"/><Relationship Id="rId9" Type="http://schemas.openxmlformats.org/officeDocument/2006/relationships/hyperlink" Target="https://www.redenlace.com.bo/" TargetMode="External"/><Relationship Id="rId143" Type="http://schemas.openxmlformats.org/officeDocument/2006/relationships/hyperlink" Target="https://www.falabella.com/falabella-cl" TargetMode="External"/><Relationship Id="rId142" Type="http://schemas.openxmlformats.org/officeDocument/2006/relationships/hyperlink" Target="https://drive.google.com/open?id=1-eok0jFWQ1AGVcXv_wiA_0BB6y6ewEon" TargetMode="External"/><Relationship Id="rId141" Type="http://schemas.openxmlformats.org/officeDocument/2006/relationships/hyperlink" Target="https://drive.google.com/open?id=1JMYhmnbYVLryunBsLrZE40alV0TwtzUr" TargetMode="External"/><Relationship Id="rId140" Type="http://schemas.openxmlformats.org/officeDocument/2006/relationships/hyperlink" Target="https://www.linkedin.com/in/carolina-herrera-solera/" TargetMode="External"/><Relationship Id="rId5" Type="http://schemas.openxmlformats.org/officeDocument/2006/relationships/hyperlink" Target="https://www.blockfinityadvisors.com" TargetMode="External"/><Relationship Id="rId147" Type="http://schemas.openxmlformats.org/officeDocument/2006/relationships/hyperlink" Target="http://www.linkedin.com/in/luis-gutierrez-324b001a" TargetMode="External"/><Relationship Id="rId6" Type="http://schemas.openxmlformats.org/officeDocument/2006/relationships/hyperlink" Target="https://www.linkedin.com/in/sergiolo/" TargetMode="External"/><Relationship Id="rId146" Type="http://schemas.openxmlformats.org/officeDocument/2006/relationships/hyperlink" Target="http://www.dolby.com" TargetMode="External"/><Relationship Id="rId7" Type="http://schemas.openxmlformats.org/officeDocument/2006/relationships/hyperlink" Target="https://drive.google.com/open?id=1ZGDqhp-fbkyg8Sx4FzZO02DYQv0V8A3R" TargetMode="External"/><Relationship Id="rId145" Type="http://schemas.openxmlformats.org/officeDocument/2006/relationships/hyperlink" Target="https://drive.google.com/open?id=1mdqOSKVFn8OQVL4QH913QUpwpH2HdE01" TargetMode="External"/><Relationship Id="rId8" Type="http://schemas.openxmlformats.org/officeDocument/2006/relationships/hyperlink" Target="https://drive.google.com/open?id=1dnm2sLpnIm63mluawFuIuQYlNoTMeWhF" TargetMode="External"/><Relationship Id="rId144" Type="http://schemas.openxmlformats.org/officeDocument/2006/relationships/hyperlink" Target="https://drive.google.com/open?id=14fBEDfx7iOdvqcs_QTHr94ztvL29gKLe" TargetMode="External"/><Relationship Id="rId73" Type="http://schemas.openxmlformats.org/officeDocument/2006/relationships/hyperlink" Target="https://drive.google.com/open?id=1-qx-5291F5InQ5FVTaMLJ-5TCC6cM7Uo" TargetMode="External"/><Relationship Id="rId72" Type="http://schemas.openxmlformats.org/officeDocument/2006/relationships/hyperlink" Target="https://drive.google.com/open?id=1YC7I3_ibQAPG3Iosc-oaEJoiVrIzdKhw" TargetMode="External"/><Relationship Id="rId75" Type="http://schemas.openxmlformats.org/officeDocument/2006/relationships/hyperlink" Target="https://drive.google.com/open?id=1aODkgkTT-zKmPX4O0Uj7cFg1IgkrhuPD" TargetMode="External"/><Relationship Id="rId74" Type="http://schemas.openxmlformats.org/officeDocument/2006/relationships/hyperlink" Target="https://www.linkedin.com/in/shirley-andrea-barben-pmp/" TargetMode="External"/><Relationship Id="rId77" Type="http://schemas.openxmlformats.org/officeDocument/2006/relationships/hyperlink" Target="https://pcertificate.com/" TargetMode="External"/><Relationship Id="rId76" Type="http://schemas.openxmlformats.org/officeDocument/2006/relationships/hyperlink" Target="https://drive.google.com/open?id=1cVVcRRpJ5rdwh5hW6QInTh38UYcoQQ29ZQ2wEnIGXzU" TargetMode="External"/><Relationship Id="rId79" Type="http://schemas.openxmlformats.org/officeDocument/2006/relationships/hyperlink" Target="https://drive.google.com/open?id=1j6tMpDmESD5b4aw6f3izxCV2L1WrE_oF" TargetMode="External"/><Relationship Id="rId78" Type="http://schemas.openxmlformats.org/officeDocument/2006/relationships/hyperlink" Target="https://es.linkedin.com/posts/jos%C3%A9-miguel-reyes-15a38a62_casi-4-a%C3%B1os-desde-que-se-cre%C3%B3-certificate-activity-7235088263013675008-08Pi" TargetMode="External"/><Relationship Id="rId71" Type="http://schemas.openxmlformats.org/officeDocument/2006/relationships/hyperlink" Target="https://www.linkedin.com/in/santiagoarmas/" TargetMode="External"/><Relationship Id="rId70" Type="http://schemas.openxmlformats.org/officeDocument/2006/relationships/hyperlink" Target="https://drive.google.com/open?id=1x6kMYoeI4saaj9Iox6JcXuKnNQF7IIza" TargetMode="External"/><Relationship Id="rId139" Type="http://schemas.openxmlformats.org/officeDocument/2006/relationships/hyperlink" Target="https://drive.google.com/open?id=1WPLan0LRkhafwSEtdZ_PhLEuv1NjhZam" TargetMode="External"/><Relationship Id="rId138" Type="http://schemas.openxmlformats.org/officeDocument/2006/relationships/hyperlink" Target="https://drive.google.com/open?id=1pTOq0lsNFqzYy54mpbslTacOCvoxz48P" TargetMode="External"/><Relationship Id="rId137" Type="http://schemas.openxmlformats.org/officeDocument/2006/relationships/hyperlink" Target="http://linkedin.com/in/gustavo-conejo-a57334124" TargetMode="External"/><Relationship Id="rId132" Type="http://schemas.openxmlformats.org/officeDocument/2006/relationships/hyperlink" Target="https://drive.google.com/open?id=1Kr5Ay_r63_k-cN_kcIQRu4O9wsN9APcd" TargetMode="External"/><Relationship Id="rId131" Type="http://schemas.openxmlformats.org/officeDocument/2006/relationships/hyperlink" Target="https://drive.google.com/open?id=1PA_3LEa2RehvVmqNMVe5k5uRuX4nhJ6J" TargetMode="External"/><Relationship Id="rId130" Type="http://schemas.openxmlformats.org/officeDocument/2006/relationships/hyperlink" Target="http://www.linkedin.com/in/fabianschwartz" TargetMode="External"/><Relationship Id="rId136" Type="http://schemas.openxmlformats.org/officeDocument/2006/relationships/hyperlink" Target="http://www.pmicr.org" TargetMode="External"/><Relationship Id="rId135" Type="http://schemas.openxmlformats.org/officeDocument/2006/relationships/hyperlink" Target="https://drive.google.com/open?id=1xMjGWUVur-BM7lcD8RvHP4Yz0Mg0ADZY" TargetMode="External"/><Relationship Id="rId134" Type="http://schemas.openxmlformats.org/officeDocument/2006/relationships/hyperlink" Target="https://drive.google.com/open?id=1lB3unWHK6-1pPOxB79FXoF-u4vgJeRk5" TargetMode="External"/><Relationship Id="rId133" Type="http://schemas.openxmlformats.org/officeDocument/2006/relationships/hyperlink" Target="http://www.linkedin.com/in/ijmendozam" TargetMode="External"/><Relationship Id="rId62" Type="http://schemas.openxmlformats.org/officeDocument/2006/relationships/hyperlink" Target="https://drive.google.com/open?id=1c-MtgYIxET4_uAELo0gtZft-lNWn0ePd" TargetMode="External"/><Relationship Id="rId61" Type="http://schemas.openxmlformats.org/officeDocument/2006/relationships/hyperlink" Target="http://www.consultoraagilarg.com" TargetMode="External"/><Relationship Id="rId64" Type="http://schemas.openxmlformats.org/officeDocument/2006/relationships/hyperlink" Target="http://www.gestumtotal.com" TargetMode="External"/><Relationship Id="rId63" Type="http://schemas.openxmlformats.org/officeDocument/2006/relationships/hyperlink" Target="https://drive.google.com/open?id=1TzHSdLAPFuZd8tzdckGKTqNG5a27prf2" TargetMode="External"/><Relationship Id="rId66" Type="http://schemas.openxmlformats.org/officeDocument/2006/relationships/hyperlink" Target="https://drive.google.com/open?id=1faMuZHHNGoo2ctCWImbe19MXG-imMwSR" TargetMode="External"/><Relationship Id="rId65" Type="http://schemas.openxmlformats.org/officeDocument/2006/relationships/hyperlink" Target="https://www.linkedin.com/in/eddi-rodas/" TargetMode="External"/><Relationship Id="rId68" Type="http://schemas.openxmlformats.org/officeDocument/2006/relationships/hyperlink" Target="http://www.linkedin.com/in/drtonyprensa" TargetMode="External"/><Relationship Id="rId67" Type="http://schemas.openxmlformats.org/officeDocument/2006/relationships/hyperlink" Target="https://drive.google.com/open?id=12QAoYFpAceW4MGqBGoEyFIeycHdwfhbe" TargetMode="External"/><Relationship Id="rId60" Type="http://schemas.openxmlformats.org/officeDocument/2006/relationships/hyperlink" Target="https://drive.google.com/open?id=1Pp7mcVw510c7rsm_hiQgwutBbHEQdA1C" TargetMode="External"/><Relationship Id="rId165" Type="http://schemas.openxmlformats.org/officeDocument/2006/relationships/table" Target="../tables/table1.xml"/><Relationship Id="rId69" Type="http://schemas.openxmlformats.org/officeDocument/2006/relationships/hyperlink" Target="https://drive.google.com/open?id=1QhlblMKzRHUrm_Wm1At_vkGuaywOstP0" TargetMode="External"/><Relationship Id="rId163" Type="http://schemas.openxmlformats.org/officeDocument/2006/relationships/drawing" Target="../drawings/drawing4.xml"/><Relationship Id="rId162" Type="http://schemas.openxmlformats.org/officeDocument/2006/relationships/hyperlink" Target="https://drive.google.com/open?id=1fh5A18NNiCFVzhdlRx0YkM-8ASGJdKp-" TargetMode="External"/><Relationship Id="rId51" Type="http://schemas.openxmlformats.org/officeDocument/2006/relationships/hyperlink" Target="https://drive.google.com/open?id=1KdBfaf3e6uY276SQ_nS8A1cHpbcMR63M" TargetMode="External"/><Relationship Id="rId50" Type="http://schemas.openxmlformats.org/officeDocument/2006/relationships/hyperlink" Target="https://drive.google.com/open?id=1SjiTBcNdEWL50OUHwi139uKBEglIBsiI" TargetMode="External"/><Relationship Id="rId53" Type="http://schemas.openxmlformats.org/officeDocument/2006/relationships/hyperlink" Target="https://drive.google.com/open?id=1EMq0SxlQW6uxKv2Xzv-XClTgZrKnqtQQ" TargetMode="External"/><Relationship Id="rId52" Type="http://schemas.openxmlformats.org/officeDocument/2006/relationships/hyperlink" Target="https://linkedin.com/in/erikchaconp" TargetMode="External"/><Relationship Id="rId55" Type="http://schemas.openxmlformats.org/officeDocument/2006/relationships/hyperlink" Target="http://www.linkedin.com/in/katherine-dalia-quispe-ramos-b63697225" TargetMode="External"/><Relationship Id="rId161" Type="http://schemas.openxmlformats.org/officeDocument/2006/relationships/hyperlink" Target="https://drive.google.com/open?id=1hOxzN87A6-wsTLpIzds_1ZwgwkYfqu1E" TargetMode="External"/><Relationship Id="rId54" Type="http://schemas.openxmlformats.org/officeDocument/2006/relationships/hyperlink" Target="https://drive.google.com/open?id=1WISGbTRKEwikqoxJzuwMTejrMrsxPrIK" TargetMode="External"/><Relationship Id="rId160" Type="http://schemas.openxmlformats.org/officeDocument/2006/relationships/hyperlink" Target="http://www.linkedin.com/in/oscar-siles-chavez" TargetMode="External"/><Relationship Id="rId57" Type="http://schemas.openxmlformats.org/officeDocument/2006/relationships/hyperlink" Target="https://drive.google.com/open?id=1Jire2TMMsWSbwT2cbJS7tkJIXuNVz9ba" TargetMode="External"/><Relationship Id="rId56" Type="http://schemas.openxmlformats.org/officeDocument/2006/relationships/hyperlink" Target="https://drive.google.com/open?id=1DmNxS-KTc-0s3niBvN7Ukp5R8LeiAJyR" TargetMode="External"/><Relationship Id="rId159" Type="http://schemas.openxmlformats.org/officeDocument/2006/relationships/hyperlink" Target="https://drive.google.com/open?id=1ZYRYajYGeIBQYtDOWwEczKzhuegnavGx" TargetMode="External"/><Relationship Id="rId59" Type="http://schemas.openxmlformats.org/officeDocument/2006/relationships/hyperlink" Target="https://drive.google.com/open?id=1hXdNweeaewlAg1sN2jASF7ekRQm7WsBu" TargetMode="External"/><Relationship Id="rId154" Type="http://schemas.openxmlformats.org/officeDocument/2006/relationships/hyperlink" Target="https://drive.google.com/open?id=1SF9UIb84KL2vMINiGgM0Q4YuoXQk3aCJ" TargetMode="External"/><Relationship Id="rId58" Type="http://schemas.openxmlformats.org/officeDocument/2006/relationships/hyperlink" Target="https://www.linkedin.com/in/pmptraining" TargetMode="External"/><Relationship Id="rId153" Type="http://schemas.openxmlformats.org/officeDocument/2006/relationships/hyperlink" Target="http://linkedin.com/in/nelia-ponte" TargetMode="External"/><Relationship Id="rId152" Type="http://schemas.openxmlformats.org/officeDocument/2006/relationships/hyperlink" Target="https://drive.google.com/open?id=1lqVBKX5Pycrn8gYDlLvyfakahoq0BWUM" TargetMode="External"/><Relationship Id="rId151" Type="http://schemas.openxmlformats.org/officeDocument/2006/relationships/hyperlink" Target="https://drive.google.com/open?id=1I2EOCJ6qy1r6soXfOt7Ezctasy9e1itn" TargetMode="External"/><Relationship Id="rId158" Type="http://schemas.openxmlformats.org/officeDocument/2006/relationships/hyperlink" Target="https://drive.google.com/open?id=1OnzUE8BOkfndBfTYNjw6QIz2pvWHKrfK" TargetMode="External"/><Relationship Id="rId157" Type="http://schemas.openxmlformats.org/officeDocument/2006/relationships/hyperlink" Target="https://www.linkedin.com/in/antonio-maturano-pmp" TargetMode="External"/><Relationship Id="rId156" Type="http://schemas.openxmlformats.org/officeDocument/2006/relationships/hyperlink" Target="https://pmibajio.org.mx/" TargetMode="External"/><Relationship Id="rId155" Type="http://schemas.openxmlformats.org/officeDocument/2006/relationships/hyperlink" Target="https://drive.google.com/open?id=1vHJC0fVCcXoKBDleQax7m9VI5wOd0Y0c"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mailto:nathalie.f.altez@gmail.com" TargetMode="External"/><Relationship Id="rId42" Type="http://schemas.openxmlformats.org/officeDocument/2006/relationships/hyperlink" Target="mailto:jgmendez@gmail.com" TargetMode="External"/><Relationship Id="rId41" Type="http://schemas.openxmlformats.org/officeDocument/2006/relationships/hyperlink" Target="mailto:gabrielgiraldon@gmail.com" TargetMode="External"/><Relationship Id="rId44" Type="http://schemas.openxmlformats.org/officeDocument/2006/relationships/hyperlink" Target="mailto:shirley.barben@trufru.com" TargetMode="External"/><Relationship Id="rId43" Type="http://schemas.openxmlformats.org/officeDocument/2006/relationships/hyperlink" Target="mailto:kdalia.quispe@gmail.com" TargetMode="External"/><Relationship Id="rId46" Type="http://schemas.openxmlformats.org/officeDocument/2006/relationships/drawing" Target="../drawings/drawing5.xml"/><Relationship Id="rId45" Type="http://schemas.openxmlformats.org/officeDocument/2006/relationships/hyperlink" Target="mailto:pluisvaldavega@gmail.com" TargetMode="External"/><Relationship Id="rId31" Type="http://schemas.openxmlformats.org/officeDocument/2006/relationships/hyperlink" Target="mailto:mbenitezcodas@gmail.com" TargetMode="External"/><Relationship Id="rId30" Type="http://schemas.openxmlformats.org/officeDocument/2006/relationships/hyperlink" Target="mailto:scandelo@gmail.com" TargetMode="External"/><Relationship Id="rId33" Type="http://schemas.openxmlformats.org/officeDocument/2006/relationships/hyperlink" Target="mailto:rene.neira.marin@gmail.com" TargetMode="External"/><Relationship Id="rId32" Type="http://schemas.openxmlformats.org/officeDocument/2006/relationships/hyperlink" Target="mailto:stalin.rivas@gmail.com" TargetMode="External"/><Relationship Id="rId35" Type="http://schemas.openxmlformats.org/officeDocument/2006/relationships/hyperlink" Target="mailto:carlos.briceno@pminorteperu.org" TargetMode="External"/><Relationship Id="rId34" Type="http://schemas.openxmlformats.org/officeDocument/2006/relationships/hyperlink" Target="mailto:Carlos.Schellenberg@evolutionconsultora.com" TargetMode="External"/><Relationship Id="rId37" Type="http://schemas.openxmlformats.org/officeDocument/2006/relationships/hyperlink" Target="mailto:postgrado777@gmail.com" TargetMode="External"/><Relationship Id="rId36" Type="http://schemas.openxmlformats.org/officeDocument/2006/relationships/hyperlink" Target="mailto:fabian@scrumnetwork.com" TargetMode="External"/><Relationship Id="rId39" Type="http://schemas.openxmlformats.org/officeDocument/2006/relationships/hyperlink" Target="mailto:cherrerasolera@gmail.com" TargetMode="External"/><Relationship Id="rId38" Type="http://schemas.openxmlformats.org/officeDocument/2006/relationships/hyperlink" Target="mailto:gustavo.conejo@pmicr.org" TargetMode="External"/><Relationship Id="rId20" Type="http://schemas.openxmlformats.org/officeDocument/2006/relationships/hyperlink" Target="mailto:gabriela@gutierrezcoaching.com" TargetMode="External"/><Relationship Id="rId22" Type="http://schemas.openxmlformats.org/officeDocument/2006/relationships/hyperlink" Target="mailto:romulo.lomparte@yahoo.com" TargetMode="External"/><Relationship Id="rId21" Type="http://schemas.openxmlformats.org/officeDocument/2006/relationships/hyperlink" Target="mailto:sergiolo.antequera@gmail.com" TargetMode="External"/><Relationship Id="rId24" Type="http://schemas.openxmlformats.org/officeDocument/2006/relationships/hyperlink" Target="mailto:cahugomez@gmail.com" TargetMode="External"/><Relationship Id="rId23" Type="http://schemas.openxmlformats.org/officeDocument/2006/relationships/hyperlink" Target="mailto:jorge.valdex@mx.proyectum.com" TargetMode="External"/><Relationship Id="rId26" Type="http://schemas.openxmlformats.org/officeDocument/2006/relationships/hyperlink" Target="mailto:nrodriguez@tetraimpacts.com" TargetMode="External"/><Relationship Id="rId25" Type="http://schemas.openxmlformats.org/officeDocument/2006/relationships/hyperlink" Target="mailto:carlos.ruiz@opexonlineacademy.org" TargetMode="External"/><Relationship Id="rId28" Type="http://schemas.openxmlformats.org/officeDocument/2006/relationships/hyperlink" Target="mailto:tanyshkalewis1105@gmail.com" TargetMode="External"/><Relationship Id="rId27" Type="http://schemas.openxmlformats.org/officeDocument/2006/relationships/hyperlink" Target="mailto:jonatanfierro@gmail.com" TargetMode="External"/><Relationship Id="rId29" Type="http://schemas.openxmlformats.org/officeDocument/2006/relationships/hyperlink" Target="mailto:echaconp@uni.pe" TargetMode="External"/><Relationship Id="rId11" Type="http://schemas.openxmlformats.org/officeDocument/2006/relationships/hyperlink" Target="mailto:erodas@gestumtotal.com" TargetMode="External"/><Relationship Id="rId10" Type="http://schemas.openxmlformats.org/officeDocument/2006/relationships/hyperlink" Target="mailto:ariel.rizzi@consultoraAgilarg.com" TargetMode="External"/><Relationship Id="rId13" Type="http://schemas.openxmlformats.org/officeDocument/2006/relationships/hyperlink" Target="mailto:administracion@pcertificate.com" TargetMode="External"/><Relationship Id="rId12" Type="http://schemas.openxmlformats.org/officeDocument/2006/relationships/hyperlink" Target="mailto:sant_armas@yahoo.es" TargetMode="External"/><Relationship Id="rId15" Type="http://schemas.openxmlformats.org/officeDocument/2006/relationships/hyperlink" Target="mailto:ilmunoz@icesi.edu.co" TargetMode="External"/><Relationship Id="rId14" Type="http://schemas.openxmlformats.org/officeDocument/2006/relationships/hyperlink" Target="mailto:bustosdaniel73@gmail.com" TargetMode="External"/><Relationship Id="rId17" Type="http://schemas.openxmlformats.org/officeDocument/2006/relationships/hyperlink" Target="mailto:shogun.shimose@gmail.com" TargetMode="External"/><Relationship Id="rId16" Type="http://schemas.openxmlformats.org/officeDocument/2006/relationships/hyperlink" Target="mailto:mdelsouc@leadconsultora.com" TargetMode="External"/><Relationship Id="rId19" Type="http://schemas.openxmlformats.org/officeDocument/2006/relationships/hyperlink" Target="mailto:luisgtz2@gmail.com" TargetMode="External"/><Relationship Id="rId18" Type="http://schemas.openxmlformats.org/officeDocument/2006/relationships/hyperlink" Target="mailto:irinacelly@hotmail.com" TargetMode="External"/><Relationship Id="rId1" Type="http://schemas.openxmlformats.org/officeDocument/2006/relationships/hyperlink" Target="mailto:adominguez@beinn.es" TargetMode="External"/><Relationship Id="rId2" Type="http://schemas.openxmlformats.org/officeDocument/2006/relationships/hyperlink" Target="mailto:yaravi@BoD-Advisors.com" TargetMode="External"/><Relationship Id="rId3" Type="http://schemas.openxmlformats.org/officeDocument/2006/relationships/hyperlink" Target="mailto:drtonyprensa@gmail.com" TargetMode="External"/><Relationship Id="rId4" Type="http://schemas.openxmlformats.org/officeDocument/2006/relationships/hyperlink" Target="mailto:steeven.apaza@gmail.com" TargetMode="External"/><Relationship Id="rId9" Type="http://schemas.openxmlformats.org/officeDocument/2006/relationships/hyperlink" Target="mailto:ariel.rizzi@consultoraAgilarg.com" TargetMode="External"/><Relationship Id="rId5" Type="http://schemas.openxmlformats.org/officeDocument/2006/relationships/hyperlink" Target="mailto:alex@proyecta.lat" TargetMode="External"/><Relationship Id="rId6" Type="http://schemas.openxmlformats.org/officeDocument/2006/relationships/hyperlink" Target="mailto:lacevedoa@unitru.edu.pe" TargetMode="External"/><Relationship Id="rId7" Type="http://schemas.openxmlformats.org/officeDocument/2006/relationships/hyperlink" Target="mailto:arellano_marco@yahoo.com" TargetMode="External"/><Relationship Id="rId8" Type="http://schemas.openxmlformats.org/officeDocument/2006/relationships/hyperlink" Target="mailto:enriqueapa@gmail.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5.13"/>
    <col customWidth="1" min="2" max="2" width="4.38"/>
    <col customWidth="1" hidden="1" min="3" max="3" width="15.0"/>
    <col customWidth="1" min="4" max="5" width="42.38"/>
    <col customWidth="1" min="6" max="6" width="2.38"/>
    <col customWidth="1" hidden="1" min="7" max="7" width="11.13"/>
    <col customWidth="1" min="8" max="9" width="42.38"/>
  </cols>
  <sheetData>
    <row r="1">
      <c r="A1" s="1"/>
      <c r="B1" s="1"/>
      <c r="C1" s="1" t="s">
        <v>1</v>
      </c>
      <c r="F1" s="4"/>
      <c r="G1" s="1"/>
      <c r="H1" s="1" t="s">
        <v>4</v>
      </c>
    </row>
    <row r="2">
      <c r="A2" s="2" t="s">
        <v>0</v>
      </c>
      <c r="B2" s="3"/>
      <c r="C2" s="9" t="s">
        <v>11</v>
      </c>
      <c r="D2" s="9" t="s">
        <v>2</v>
      </c>
      <c r="E2" s="9" t="s">
        <v>5</v>
      </c>
      <c r="F2" s="4"/>
      <c r="G2" s="9" t="s">
        <v>11</v>
      </c>
      <c r="H2" s="9" t="s">
        <v>2</v>
      </c>
      <c r="I2" s="9" t="s">
        <v>5</v>
      </c>
    </row>
    <row r="3">
      <c r="A3" s="12">
        <v>0.3472222222222222</v>
      </c>
      <c r="B3" s="12">
        <f>A3+"00:10"</f>
        <v>0.3541666667</v>
      </c>
      <c r="C3" s="17" t="s">
        <v>44</v>
      </c>
      <c r="D3" s="22" t="s">
        <v>43</v>
      </c>
      <c r="E3" s="19"/>
      <c r="F3" s="23"/>
      <c r="G3" s="25"/>
      <c r="H3" s="25"/>
      <c r="I3" s="25"/>
    </row>
    <row r="4">
      <c r="A4" s="27" t="s">
        <v>60</v>
      </c>
      <c r="B4" s="3"/>
      <c r="C4" s="17"/>
      <c r="D4" s="29" t="s">
        <v>66</v>
      </c>
      <c r="E4" s="19"/>
      <c r="F4" s="30"/>
      <c r="G4" s="31"/>
      <c r="H4" s="25"/>
      <c r="I4" s="25"/>
    </row>
    <row r="5">
      <c r="A5" s="12">
        <f>B3</f>
        <v>0.3541666667</v>
      </c>
      <c r="B5" s="12">
        <f>A5+"00:40"</f>
        <v>0.3819444444</v>
      </c>
      <c r="C5" s="17" t="s">
        <v>70</v>
      </c>
      <c r="D5" s="34" t="s">
        <v>71</v>
      </c>
      <c r="E5" s="19"/>
      <c r="F5" s="30"/>
      <c r="G5" s="17" t="s">
        <v>72</v>
      </c>
      <c r="H5" s="34" t="s">
        <v>73</v>
      </c>
      <c r="I5" s="19"/>
    </row>
    <row r="6">
      <c r="A6" s="27" t="s">
        <v>60</v>
      </c>
      <c r="B6" s="3"/>
      <c r="C6" s="17"/>
      <c r="D6" s="29" t="s">
        <v>76</v>
      </c>
      <c r="E6" s="19"/>
      <c r="F6" s="30"/>
      <c r="G6" s="17"/>
      <c r="H6" s="29" t="s">
        <v>66</v>
      </c>
      <c r="I6" s="19"/>
    </row>
    <row r="7">
      <c r="A7" s="12">
        <f>B5+"00:10"</f>
        <v>0.3888888889</v>
      </c>
      <c r="B7" s="12">
        <f>A7+"00:40"</f>
        <v>0.4166666667</v>
      </c>
      <c r="C7" s="17" t="s">
        <v>85</v>
      </c>
      <c r="D7" s="40" t="s">
        <v>87</v>
      </c>
      <c r="E7" s="40" t="s">
        <v>89</v>
      </c>
      <c r="F7" s="30"/>
      <c r="G7" s="17" t="s">
        <v>90</v>
      </c>
      <c r="H7" s="40" t="s">
        <v>91</v>
      </c>
      <c r="I7" s="40" t="s">
        <v>92</v>
      </c>
    </row>
    <row r="8">
      <c r="A8" s="27" t="s">
        <v>60</v>
      </c>
      <c r="B8" s="3"/>
      <c r="C8" s="17"/>
      <c r="D8" s="29"/>
      <c r="E8" s="43"/>
      <c r="F8" s="30"/>
      <c r="G8" s="17"/>
      <c r="H8" s="29" t="s">
        <v>96</v>
      </c>
      <c r="I8" s="43" t="s">
        <v>97</v>
      </c>
    </row>
    <row r="9">
      <c r="A9" s="12">
        <f>B7+"00:10"</f>
        <v>0.4236111111</v>
      </c>
      <c r="B9" s="12">
        <f>A9+"00:40"</f>
        <v>0.4513888889</v>
      </c>
      <c r="C9" s="17" t="s">
        <v>103</v>
      </c>
      <c r="D9" s="40" t="s">
        <v>105</v>
      </c>
      <c r="E9" s="40" t="s">
        <v>108</v>
      </c>
      <c r="F9" s="30"/>
      <c r="G9" s="17" t="s">
        <v>112</v>
      </c>
      <c r="H9" s="40" t="s">
        <v>114</v>
      </c>
      <c r="I9" s="40" t="s">
        <v>115</v>
      </c>
    </row>
    <row r="10">
      <c r="A10" s="27" t="s">
        <v>60</v>
      </c>
      <c r="B10" s="3"/>
      <c r="C10" s="17"/>
      <c r="D10" s="29"/>
      <c r="E10" s="43"/>
      <c r="F10" s="30"/>
      <c r="G10" s="17"/>
      <c r="H10" s="29" t="s">
        <v>96</v>
      </c>
      <c r="I10" s="43" t="s">
        <v>97</v>
      </c>
    </row>
    <row r="11">
      <c r="A11" s="50">
        <f>B9</f>
        <v>0.4513888889</v>
      </c>
      <c r="B11" s="50">
        <f>A11+"00:20"</f>
        <v>0.4652777778</v>
      </c>
      <c r="C11" s="51"/>
      <c r="D11" s="52" t="s">
        <v>134</v>
      </c>
      <c r="E11" s="52" t="s">
        <v>134</v>
      </c>
      <c r="F11" s="30"/>
      <c r="G11" s="51"/>
      <c r="H11" s="52" t="s">
        <v>134</v>
      </c>
      <c r="I11" s="52" t="s">
        <v>134</v>
      </c>
    </row>
    <row r="12">
      <c r="A12" s="12">
        <f>B11</f>
        <v>0.4652777778</v>
      </c>
      <c r="B12" s="12">
        <f>A12+"00:40"</f>
        <v>0.4930555556</v>
      </c>
      <c r="C12" s="17" t="s">
        <v>139</v>
      </c>
      <c r="D12" s="40" t="s">
        <v>140</v>
      </c>
      <c r="E12" s="40" t="s">
        <v>141</v>
      </c>
      <c r="F12" s="30"/>
      <c r="G12" s="17" t="s">
        <v>142</v>
      </c>
      <c r="H12" s="40" t="s">
        <v>143</v>
      </c>
      <c r="I12" s="40" t="s">
        <v>145</v>
      </c>
    </row>
    <row r="13">
      <c r="A13" s="27" t="s">
        <v>60</v>
      </c>
      <c r="B13" s="3"/>
      <c r="C13" s="17"/>
      <c r="D13" s="29"/>
      <c r="E13" s="43"/>
      <c r="F13" s="30"/>
      <c r="G13" s="17"/>
      <c r="H13" s="29" t="s">
        <v>148</v>
      </c>
      <c r="I13" s="43" t="s">
        <v>97</v>
      </c>
    </row>
    <row r="14">
      <c r="A14" s="12">
        <f>B12+"00:10"</f>
        <v>0.5</v>
      </c>
      <c r="B14" s="12">
        <f>A14+"00:40"</f>
        <v>0.5277777778</v>
      </c>
      <c r="C14" s="17" t="s">
        <v>151</v>
      </c>
      <c r="D14" s="40" t="s">
        <v>152</v>
      </c>
      <c r="E14" s="40" t="s">
        <v>154</v>
      </c>
      <c r="F14" s="30"/>
      <c r="G14" s="17" t="s">
        <v>157</v>
      </c>
      <c r="H14" s="40" t="s">
        <v>158</v>
      </c>
      <c r="I14" s="40" t="s">
        <v>159</v>
      </c>
    </row>
    <row r="15">
      <c r="A15" s="27" t="s">
        <v>60</v>
      </c>
      <c r="B15" s="3"/>
      <c r="C15" s="17"/>
      <c r="D15" s="29"/>
      <c r="E15" s="43"/>
      <c r="F15" s="30"/>
      <c r="G15" s="17"/>
      <c r="H15" s="29" t="s">
        <v>148</v>
      </c>
      <c r="I15" s="43" t="s">
        <v>97</v>
      </c>
    </row>
    <row r="16">
      <c r="A16" s="50">
        <f>B14</f>
        <v>0.5277777778</v>
      </c>
      <c r="B16" s="50">
        <v>0.5833333333333334</v>
      </c>
      <c r="C16" s="51"/>
      <c r="D16" s="52" t="s">
        <v>170</v>
      </c>
      <c r="E16" s="52" t="s">
        <v>170</v>
      </c>
      <c r="F16" s="30"/>
      <c r="G16" s="51"/>
      <c r="H16" s="52" t="s">
        <v>170</v>
      </c>
      <c r="I16" s="52" t="s">
        <v>170</v>
      </c>
    </row>
    <row r="17">
      <c r="A17" s="12">
        <f>B16</f>
        <v>0.5833333333</v>
      </c>
      <c r="B17" s="12">
        <f>A17+"00:40"</f>
        <v>0.6111111111</v>
      </c>
      <c r="C17" s="17" t="s">
        <v>176</v>
      </c>
      <c r="D17" s="34" t="s">
        <v>177</v>
      </c>
      <c r="E17" s="19"/>
      <c r="F17" s="30"/>
      <c r="G17" s="17" t="s">
        <v>178</v>
      </c>
      <c r="H17" s="34" t="s">
        <v>179</v>
      </c>
      <c r="I17" s="19"/>
    </row>
    <row r="18">
      <c r="A18" s="27" t="s">
        <v>60</v>
      </c>
      <c r="B18" s="3"/>
      <c r="C18" s="17"/>
      <c r="D18" s="29" t="s">
        <v>66</v>
      </c>
      <c r="E18" s="19"/>
      <c r="F18" s="30"/>
      <c r="G18" s="17"/>
      <c r="H18" s="29" t="s">
        <v>66</v>
      </c>
      <c r="I18" s="19"/>
    </row>
    <row r="19">
      <c r="A19" s="12">
        <f>B17+"00:10"</f>
        <v>0.6180555556</v>
      </c>
      <c r="B19" s="12">
        <f>A19+"00:40"</f>
        <v>0.6458333333</v>
      </c>
      <c r="C19" s="17" t="s">
        <v>185</v>
      </c>
      <c r="D19" s="40" t="s">
        <v>186</v>
      </c>
      <c r="E19" s="40" t="s">
        <v>187</v>
      </c>
      <c r="F19" s="30"/>
      <c r="G19" s="17" t="s">
        <v>190</v>
      </c>
      <c r="H19" s="40" t="s">
        <v>191</v>
      </c>
      <c r="I19" s="40" t="s">
        <v>192</v>
      </c>
    </row>
    <row r="20">
      <c r="A20" s="27" t="s">
        <v>60</v>
      </c>
      <c r="B20" s="3"/>
      <c r="C20" s="17"/>
      <c r="D20" s="29"/>
      <c r="E20" s="29"/>
      <c r="F20" s="30"/>
      <c r="G20" s="17"/>
      <c r="H20" s="29" t="s">
        <v>198</v>
      </c>
      <c r="I20" s="29"/>
    </row>
    <row r="21">
      <c r="A21" s="12">
        <f>B19+"00:10"</f>
        <v>0.6527777778</v>
      </c>
      <c r="B21" s="12">
        <f>A21+"00:40"</f>
        <v>0.6805555556</v>
      </c>
      <c r="C21" s="17" t="s">
        <v>217</v>
      </c>
      <c r="D21" s="40" t="s">
        <v>218</v>
      </c>
      <c r="E21" s="40" t="s">
        <v>219</v>
      </c>
      <c r="F21" s="30"/>
      <c r="G21" s="17" t="s">
        <v>220</v>
      </c>
      <c r="H21" s="40" t="s">
        <v>221</v>
      </c>
      <c r="I21" s="40" t="s">
        <v>222</v>
      </c>
    </row>
    <row r="22">
      <c r="A22" s="27" t="s">
        <v>60</v>
      </c>
      <c r="B22" s="3"/>
      <c r="C22" s="17"/>
      <c r="D22" s="29"/>
      <c r="E22" s="29"/>
      <c r="F22" s="30"/>
      <c r="G22" s="17"/>
      <c r="H22" s="29" t="s">
        <v>198</v>
      </c>
      <c r="I22" s="29"/>
    </row>
    <row r="23">
      <c r="A23" s="50">
        <f>B21</f>
        <v>0.6805555556</v>
      </c>
      <c r="B23" s="50">
        <f>A23+"00:20"</f>
        <v>0.6944444444</v>
      </c>
      <c r="C23" s="51"/>
      <c r="D23" s="52" t="s">
        <v>134</v>
      </c>
      <c r="E23" s="52" t="s">
        <v>134</v>
      </c>
      <c r="F23" s="30"/>
      <c r="G23" s="51"/>
      <c r="H23" s="52" t="s">
        <v>134</v>
      </c>
      <c r="I23" s="52" t="s">
        <v>134</v>
      </c>
    </row>
    <row r="24">
      <c r="A24" s="12">
        <f>B23</f>
        <v>0.6944444444</v>
      </c>
      <c r="B24" s="12">
        <f>A24+"00:40"</f>
        <v>0.7222222222</v>
      </c>
      <c r="C24" s="17" t="s">
        <v>231</v>
      </c>
      <c r="D24" s="40" t="s">
        <v>232</v>
      </c>
      <c r="E24" s="40" t="s">
        <v>233</v>
      </c>
      <c r="F24" s="30"/>
      <c r="G24" s="17" t="s">
        <v>234</v>
      </c>
      <c r="H24" s="40" t="s">
        <v>236</v>
      </c>
      <c r="I24" s="40" t="s">
        <v>238</v>
      </c>
    </row>
    <row r="25">
      <c r="A25" s="27" t="s">
        <v>60</v>
      </c>
      <c r="B25" s="3"/>
      <c r="C25" s="17"/>
      <c r="D25" s="29"/>
      <c r="E25" s="29"/>
      <c r="F25" s="30"/>
      <c r="G25" s="17"/>
      <c r="H25" s="29" t="s">
        <v>198</v>
      </c>
      <c r="I25" s="29"/>
    </row>
    <row r="26">
      <c r="A26" s="12">
        <f>B24+"00:10"</f>
        <v>0.7291666667</v>
      </c>
      <c r="B26" s="12">
        <f>A26+"00:40"</f>
        <v>0.7569444444</v>
      </c>
      <c r="C26" s="17" t="s">
        <v>252</v>
      </c>
      <c r="D26" s="40" t="s">
        <v>254</v>
      </c>
      <c r="E26" s="40" t="s">
        <v>255</v>
      </c>
      <c r="F26" s="30"/>
      <c r="G26" s="73" t="s">
        <v>257</v>
      </c>
      <c r="H26" s="40" t="s">
        <v>258</v>
      </c>
      <c r="I26" s="40" t="s">
        <v>259</v>
      </c>
    </row>
    <row r="27">
      <c r="A27" s="27" t="s">
        <v>60</v>
      </c>
      <c r="B27" s="3"/>
      <c r="C27" s="17"/>
      <c r="D27" s="29" t="s">
        <v>66</v>
      </c>
      <c r="E27" s="29" t="s">
        <v>260</v>
      </c>
      <c r="F27" s="30"/>
      <c r="G27" s="17"/>
      <c r="H27" s="29" t="s">
        <v>198</v>
      </c>
      <c r="I27" s="29" t="s">
        <v>66</v>
      </c>
    </row>
    <row r="28">
      <c r="A28" s="12">
        <f>B26+"00:10"</f>
        <v>0.7638888889</v>
      </c>
      <c r="B28" s="12">
        <f>A28+"00:40"</f>
        <v>0.7916666667</v>
      </c>
      <c r="C28" s="17" t="s">
        <v>264</v>
      </c>
      <c r="D28" s="40" t="s">
        <v>265</v>
      </c>
      <c r="E28" s="40" t="s">
        <v>266</v>
      </c>
      <c r="F28" s="30"/>
      <c r="G28" s="17" t="s">
        <v>267</v>
      </c>
      <c r="H28" s="40" t="s">
        <v>268</v>
      </c>
      <c r="I28" s="40" t="s">
        <v>270</v>
      </c>
    </row>
    <row r="29">
      <c r="A29" s="27" t="s">
        <v>60</v>
      </c>
      <c r="B29" s="3"/>
      <c r="C29" s="17"/>
      <c r="D29" s="29"/>
      <c r="E29" s="29" t="s">
        <v>96</v>
      </c>
      <c r="F29" s="30"/>
      <c r="G29" s="17"/>
      <c r="H29" s="29" t="s">
        <v>198</v>
      </c>
      <c r="I29" s="29"/>
    </row>
    <row r="30">
      <c r="A30" s="12">
        <f>B28+"00:10"</f>
        <v>0.7986111111</v>
      </c>
      <c r="B30" s="12">
        <f>A30+"00:40"</f>
        <v>0.8263888889</v>
      </c>
      <c r="C30" s="17" t="s">
        <v>282</v>
      </c>
      <c r="D30" s="40" t="s">
        <v>284</v>
      </c>
      <c r="E30" s="40" t="s">
        <v>286</v>
      </c>
      <c r="F30" s="30"/>
      <c r="G30" s="17" t="s">
        <v>287</v>
      </c>
      <c r="H30" s="22" t="s">
        <v>205</v>
      </c>
      <c r="I30" s="19"/>
    </row>
    <row r="31">
      <c r="A31" s="27" t="s">
        <v>60</v>
      </c>
      <c r="B31" s="3"/>
      <c r="C31" s="17"/>
      <c r="D31" s="29"/>
      <c r="E31" s="29" t="s">
        <v>96</v>
      </c>
      <c r="F31" s="30"/>
      <c r="G31" s="31"/>
      <c r="H31" s="29" t="s">
        <v>66</v>
      </c>
      <c r="I31" s="19"/>
    </row>
    <row r="32">
      <c r="A32" s="78"/>
      <c r="B32" s="78"/>
      <c r="C32" s="78"/>
      <c r="D32" s="66"/>
      <c r="E32" s="79"/>
      <c r="F32" s="80"/>
      <c r="G32" s="79"/>
      <c r="H32" s="81"/>
      <c r="I32" s="79"/>
    </row>
    <row r="33">
      <c r="A33" s="27" t="s">
        <v>60</v>
      </c>
      <c r="B33" s="3"/>
      <c r="C33" s="17"/>
      <c r="D33" s="29" t="s">
        <v>298</v>
      </c>
      <c r="E33" s="82"/>
      <c r="F33" s="30"/>
      <c r="G33" s="31"/>
      <c r="H33" s="29" t="s">
        <v>298</v>
      </c>
      <c r="I33" s="82"/>
    </row>
    <row r="34">
      <c r="A34" s="78"/>
      <c r="B34" s="78"/>
      <c r="C34" s="78"/>
      <c r="D34" s="66" t="s">
        <v>223</v>
      </c>
      <c r="E34" s="79"/>
      <c r="F34" s="80"/>
      <c r="G34" s="79"/>
      <c r="H34" s="83" t="s">
        <v>301</v>
      </c>
      <c r="I34" s="79"/>
    </row>
    <row r="35">
      <c r="A35" s="78"/>
      <c r="B35" s="78"/>
      <c r="C35" s="78"/>
      <c r="D35" s="84" t="s">
        <v>224</v>
      </c>
      <c r="E35" s="85">
        <f>COUNTIF(speakers26,"*/PA/*")</f>
        <v>15</v>
      </c>
      <c r="F35" s="87"/>
      <c r="G35" s="85"/>
      <c r="H35" s="88" t="s">
        <v>308</v>
      </c>
      <c r="I35" s="85"/>
    </row>
    <row r="36">
      <c r="A36" s="78"/>
      <c r="B36" s="78"/>
      <c r="C36" s="78"/>
      <c r="D36" s="84" t="s">
        <v>206</v>
      </c>
      <c r="E36" s="85">
        <f>COUNTIF(speakers26,"*/PB/*")</f>
        <v>15</v>
      </c>
      <c r="F36" s="87"/>
      <c r="G36" s="85"/>
      <c r="H36" s="88" t="s">
        <v>312</v>
      </c>
      <c r="I36" s="85"/>
    </row>
    <row r="37">
      <c r="A37" s="78"/>
      <c r="B37" s="78"/>
      <c r="C37" s="78"/>
      <c r="D37" s="84" t="s">
        <v>228</v>
      </c>
      <c r="E37" s="85">
        <f>COUNTIF(speakers26,"*/PC/*")</f>
        <v>2</v>
      </c>
      <c r="F37" s="87"/>
      <c r="G37" s="85"/>
      <c r="H37" s="90" t="s">
        <v>318</v>
      </c>
      <c r="I37" s="85"/>
    </row>
    <row r="38">
      <c r="A38" s="78"/>
      <c r="B38" s="78"/>
      <c r="C38" s="78"/>
      <c r="D38" s="84" t="s">
        <v>235</v>
      </c>
      <c r="E38" s="85">
        <f>COUNTIF(speakers26,"*/PD/*")</f>
        <v>8</v>
      </c>
      <c r="F38" s="87"/>
      <c r="G38" s="85"/>
      <c r="H38" s="90" t="s">
        <v>324</v>
      </c>
      <c r="I38" s="85"/>
    </row>
    <row r="39">
      <c r="A39" s="78"/>
      <c r="B39" s="78"/>
      <c r="C39" s="78"/>
      <c r="D39" s="84" t="s">
        <v>240</v>
      </c>
      <c r="E39" s="85">
        <f>COUNTIF(speakers26,"*/PE/*")</f>
        <v>2</v>
      </c>
      <c r="F39" s="87"/>
      <c r="G39" s="85"/>
      <c r="H39" s="90" t="s">
        <v>325</v>
      </c>
      <c r="I39" s="85"/>
    </row>
    <row r="40">
      <c r="A40" s="78"/>
      <c r="B40" s="78"/>
      <c r="C40" s="78"/>
      <c r="D40" s="91"/>
      <c r="E40" s="92">
        <f>SUM(E35:E39)</f>
        <v>42</v>
      </c>
      <c r="F40" s="93"/>
      <c r="G40" s="92"/>
      <c r="H40" s="94" t="s">
        <v>329</v>
      </c>
      <c r="I40" s="92"/>
    </row>
    <row r="41">
      <c r="A41" s="78"/>
      <c r="B41" s="78"/>
      <c r="C41" s="78"/>
      <c r="D41" s="84" t="s">
        <v>256</v>
      </c>
      <c r="E41" s="96">
        <f>COUNTIF(speakers26,"*/MC/*")+COUNTIF(speakers26,"*/MX/*")</f>
        <v>40</v>
      </c>
      <c r="F41" s="97"/>
      <c r="G41" s="96"/>
      <c r="H41" s="90" t="s">
        <v>334</v>
      </c>
      <c r="I41" s="96"/>
    </row>
    <row r="42">
      <c r="A42" s="78"/>
      <c r="B42" s="78"/>
      <c r="C42" s="78"/>
      <c r="D42" s="84" t="s">
        <v>276</v>
      </c>
      <c r="E42" s="85">
        <f>COUNTIF(speakers26,"*/PPT/*")</f>
        <v>1</v>
      </c>
      <c r="F42" s="87"/>
      <c r="G42" s="85"/>
      <c r="H42" s="90" t="s">
        <v>341</v>
      </c>
      <c r="I42" s="85"/>
    </row>
    <row r="43">
      <c r="A43" s="78"/>
      <c r="B43" s="78"/>
      <c r="C43" s="78"/>
      <c r="D43" s="84"/>
      <c r="E43" s="98"/>
      <c r="F43" s="99"/>
      <c r="G43" s="98"/>
      <c r="H43" s="100" t="s">
        <v>347</v>
      </c>
      <c r="I43" s="98"/>
    </row>
    <row r="44">
      <c r="A44" s="78"/>
      <c r="B44" s="78"/>
      <c r="C44" s="78"/>
      <c r="D44" s="84" t="s">
        <v>290</v>
      </c>
      <c r="E44" s="85">
        <f>COUNTIF(speakers26,"*IN4/*")</f>
        <v>4</v>
      </c>
      <c r="F44" s="87"/>
      <c r="G44" s="85"/>
      <c r="H44" s="90" t="s">
        <v>352</v>
      </c>
      <c r="I44" s="85"/>
    </row>
    <row r="45">
      <c r="A45" s="78"/>
      <c r="B45" s="78"/>
      <c r="C45" s="78"/>
      <c r="D45" s="84" t="s">
        <v>292</v>
      </c>
      <c r="E45" s="85">
        <f>COUNTIF(speakers26,"*/IN3/*")</f>
        <v>11</v>
      </c>
      <c r="F45" s="87"/>
      <c r="G45" s="85"/>
      <c r="H45" s="88" t="s">
        <v>355</v>
      </c>
      <c r="I45" s="85"/>
    </row>
    <row r="46">
      <c r="A46" s="78"/>
      <c r="B46" s="78"/>
      <c r="C46" s="78"/>
      <c r="D46" s="84" t="s">
        <v>294</v>
      </c>
      <c r="E46" s="85">
        <f>COUNTIF(speakers26,"*/IN2/*")</f>
        <v>19</v>
      </c>
      <c r="F46" s="87"/>
      <c r="G46" s="85"/>
      <c r="H46" s="88" t="s">
        <v>360</v>
      </c>
      <c r="I46" s="85"/>
    </row>
    <row r="47">
      <c r="A47" s="78"/>
      <c r="B47" s="78"/>
      <c r="C47" s="78"/>
      <c r="D47" s="84" t="s">
        <v>299</v>
      </c>
      <c r="E47" s="85">
        <f>COUNTIF(speakers26,"*NN2/*")+COUNTIF(speakers26,"*/NN3/*")</f>
        <v>8</v>
      </c>
      <c r="F47" s="87"/>
      <c r="G47" s="85"/>
      <c r="H47" s="88" t="s">
        <v>370</v>
      </c>
      <c r="I47" s="85"/>
    </row>
    <row r="48">
      <c r="A48" s="78"/>
      <c r="B48" s="78"/>
      <c r="C48" s="78"/>
      <c r="D48" s="84"/>
      <c r="E48" s="92">
        <f>SUM(E43:E47)</f>
        <v>42</v>
      </c>
      <c r="F48" s="93"/>
      <c r="G48" s="92"/>
      <c r="H48" s="94" t="s">
        <v>381</v>
      </c>
      <c r="I48" s="92"/>
    </row>
    <row r="49">
      <c r="A49" s="78"/>
      <c r="B49" s="78"/>
      <c r="C49" s="78"/>
      <c r="D49" s="84" t="s">
        <v>302</v>
      </c>
      <c r="E49" s="98"/>
      <c r="F49" s="99"/>
      <c r="G49" s="98"/>
      <c r="H49" s="98"/>
      <c r="I49" s="98"/>
    </row>
    <row r="50">
      <c r="A50" s="78"/>
      <c r="B50" s="78"/>
      <c r="C50" s="78"/>
      <c r="D50" s="84" t="s">
        <v>204</v>
      </c>
      <c r="E50" s="98"/>
      <c r="F50" s="99"/>
      <c r="G50" s="98"/>
      <c r="H50" s="98"/>
      <c r="I50" s="98"/>
    </row>
    <row r="51">
      <c r="A51" s="78"/>
      <c r="B51" s="78"/>
      <c r="C51" s="78"/>
      <c r="D51" s="84" t="s">
        <v>113</v>
      </c>
      <c r="E51" s="98"/>
      <c r="F51" s="99"/>
      <c r="G51" s="98"/>
      <c r="H51" s="98"/>
      <c r="I51" s="98"/>
    </row>
    <row r="52">
      <c r="A52" s="78"/>
      <c r="B52" s="78"/>
      <c r="C52" s="78"/>
      <c r="D52" s="84" t="s">
        <v>307</v>
      </c>
      <c r="E52" s="98"/>
      <c r="F52" s="99"/>
      <c r="G52" s="98"/>
      <c r="H52" s="98"/>
      <c r="I52" s="98"/>
    </row>
  </sheetData>
  <autoFilter ref="$A$2:$I$31"/>
  <mergeCells count="31">
    <mergeCell ref="H5:I5"/>
    <mergeCell ref="H6:I6"/>
    <mergeCell ref="H17:I17"/>
    <mergeCell ref="H18:I18"/>
    <mergeCell ref="H30:I30"/>
    <mergeCell ref="H31:I31"/>
    <mergeCell ref="H33:I33"/>
    <mergeCell ref="C1:E1"/>
    <mergeCell ref="H1:I1"/>
    <mergeCell ref="A2:B2"/>
    <mergeCell ref="D3:E3"/>
    <mergeCell ref="D4:E4"/>
    <mergeCell ref="D5:E5"/>
    <mergeCell ref="D6:E6"/>
    <mergeCell ref="D17:E17"/>
    <mergeCell ref="D18:E18"/>
    <mergeCell ref="D33:E33"/>
    <mergeCell ref="A20:B20"/>
    <mergeCell ref="A22:B22"/>
    <mergeCell ref="A25:B25"/>
    <mergeCell ref="A27:B27"/>
    <mergeCell ref="A29:B29"/>
    <mergeCell ref="A31:B31"/>
    <mergeCell ref="A33:B33"/>
    <mergeCell ref="A4:B4"/>
    <mergeCell ref="A6:B6"/>
    <mergeCell ref="A8:B8"/>
    <mergeCell ref="A10:B10"/>
    <mergeCell ref="A13:B13"/>
    <mergeCell ref="A15:B15"/>
    <mergeCell ref="A18:B18"/>
  </mergeCells>
  <printOptions gridLines="1" horizontalCentered="1"/>
  <pageMargins bottom="0.75" footer="0.0" header="0.0" left="0.25" right="0.25" top="0.75"/>
  <pageSetup fitToHeight="0" paperSize="5"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5.13"/>
    <col customWidth="1" min="2" max="2" width="4.38"/>
    <col customWidth="1" min="3" max="4" width="39.38"/>
    <col customWidth="1" min="5" max="5" width="1.88"/>
    <col customWidth="1" min="6" max="6" width="5.13"/>
    <col customWidth="1" min="7" max="7" width="4.38"/>
    <col customWidth="1" min="8" max="9" width="39.38"/>
  </cols>
  <sheetData>
    <row r="1">
      <c r="A1" s="2" t="s">
        <v>0</v>
      </c>
      <c r="B1" s="3"/>
      <c r="C1" s="5" t="s">
        <v>2</v>
      </c>
      <c r="D1" s="5" t="s">
        <v>5</v>
      </c>
      <c r="E1" s="7"/>
      <c r="F1" s="2" t="s">
        <v>7</v>
      </c>
      <c r="G1" s="3"/>
      <c r="H1" s="5" t="s">
        <v>2</v>
      </c>
      <c r="I1" s="5" t="s">
        <v>5</v>
      </c>
    </row>
    <row r="2">
      <c r="A2" s="11">
        <v>0.3472222222222222</v>
      </c>
      <c r="B2" s="11">
        <f>A2+"00:10"</f>
        <v>0.3541666667</v>
      </c>
      <c r="C2" s="18" t="s">
        <v>43</v>
      </c>
      <c r="D2" s="19"/>
      <c r="E2" s="20"/>
      <c r="F2" s="11"/>
      <c r="G2" s="11"/>
      <c r="H2" s="21"/>
      <c r="I2" s="3"/>
    </row>
    <row r="3">
      <c r="A3" s="11">
        <f>B2</f>
        <v>0.3541666667</v>
      </c>
      <c r="B3" s="11">
        <f t="shared" ref="B3:B5" si="1">A3+"00:40"</f>
        <v>0.3819444444</v>
      </c>
      <c r="C3" s="32" t="s">
        <v>68</v>
      </c>
      <c r="D3" s="19"/>
      <c r="E3" s="20"/>
      <c r="F3" s="11">
        <v>0.3541666666666667</v>
      </c>
      <c r="G3" s="11">
        <f t="shared" ref="G3:G5" si="2">F3+"00:40"</f>
        <v>0.3819444444</v>
      </c>
      <c r="H3" s="33" t="s">
        <v>69</v>
      </c>
      <c r="I3" s="19"/>
    </row>
    <row r="4">
      <c r="A4" s="11">
        <f t="shared" ref="A4:A5" si="3">B3+"00:10"</f>
        <v>0.3888888889</v>
      </c>
      <c r="B4" s="11">
        <f t="shared" si="1"/>
        <v>0.4166666667</v>
      </c>
      <c r="C4" s="35" t="s">
        <v>74</v>
      </c>
      <c r="D4" s="35" t="s">
        <v>75</v>
      </c>
      <c r="E4" s="20"/>
      <c r="F4" s="11">
        <f t="shared" ref="F4:F5" si="4">G3+"00:10"</f>
        <v>0.3888888889</v>
      </c>
      <c r="G4" s="11">
        <f t="shared" si="2"/>
        <v>0.4166666667</v>
      </c>
      <c r="H4" s="35" t="s">
        <v>78</v>
      </c>
      <c r="I4" s="35" t="s">
        <v>79</v>
      </c>
    </row>
    <row r="5">
      <c r="A5" s="11">
        <f t="shared" si="3"/>
        <v>0.4236111111</v>
      </c>
      <c r="B5" s="11">
        <f t="shared" si="1"/>
        <v>0.4513888889</v>
      </c>
      <c r="C5" s="35" t="s">
        <v>82</v>
      </c>
      <c r="D5" s="35" t="s">
        <v>83</v>
      </c>
      <c r="E5" s="20"/>
      <c r="F5" s="11">
        <f t="shared" si="4"/>
        <v>0.4236111111</v>
      </c>
      <c r="G5" s="11">
        <f t="shared" si="2"/>
        <v>0.4513888889</v>
      </c>
      <c r="H5" s="39"/>
      <c r="I5" s="35" t="s">
        <v>88</v>
      </c>
    </row>
    <row r="6">
      <c r="A6" s="41">
        <f t="shared" ref="A6:A7" si="5">B5</f>
        <v>0.4513888889</v>
      </c>
      <c r="B6" s="41">
        <f>A6+"00:20"</f>
        <v>0.4652777778</v>
      </c>
      <c r="C6" s="42" t="s">
        <v>93</v>
      </c>
      <c r="D6" s="42" t="s">
        <v>93</v>
      </c>
      <c r="E6" s="44"/>
      <c r="F6" s="41">
        <f t="shared" ref="F6:F7" si="6">G5</f>
        <v>0.4513888889</v>
      </c>
      <c r="G6" s="41">
        <f>F6+"00:20"</f>
        <v>0.4652777778</v>
      </c>
      <c r="H6" s="42" t="s">
        <v>93</v>
      </c>
      <c r="I6" s="42" t="s">
        <v>93</v>
      </c>
    </row>
    <row r="7">
      <c r="A7" s="11">
        <f t="shared" si="5"/>
        <v>0.4652777778</v>
      </c>
      <c r="B7" s="11">
        <f t="shared" ref="B7:B8" si="7">A7+"00:40"</f>
        <v>0.4930555556</v>
      </c>
      <c r="C7" s="35" t="s">
        <v>99</v>
      </c>
      <c r="D7" s="35" t="s">
        <v>100</v>
      </c>
      <c r="E7" s="20"/>
      <c r="F7" s="11">
        <f t="shared" si="6"/>
        <v>0.4652777778</v>
      </c>
      <c r="G7" s="11">
        <f t="shared" ref="G7:G8" si="8">F7+"00:40"</f>
        <v>0.4930555556</v>
      </c>
      <c r="H7" s="35" t="s">
        <v>106</v>
      </c>
      <c r="I7" s="35" t="s">
        <v>110</v>
      </c>
    </row>
    <row r="8">
      <c r="A8" s="11">
        <f>B7+"00:10"</f>
        <v>0.5</v>
      </c>
      <c r="B8" s="11">
        <f t="shared" si="7"/>
        <v>0.5277777778</v>
      </c>
      <c r="C8" s="35" t="s">
        <v>121</v>
      </c>
      <c r="D8" s="35" t="s">
        <v>124</v>
      </c>
      <c r="E8" s="20"/>
      <c r="F8" s="11">
        <f>G7+"00:10"</f>
        <v>0.5</v>
      </c>
      <c r="G8" s="11">
        <f t="shared" si="8"/>
        <v>0.5277777778</v>
      </c>
      <c r="H8" s="35" t="s">
        <v>131</v>
      </c>
      <c r="I8" s="35" t="s">
        <v>132</v>
      </c>
    </row>
    <row r="9">
      <c r="A9" s="41">
        <f t="shared" ref="A9:A10" si="9">B8</f>
        <v>0.5277777778</v>
      </c>
      <c r="B9" s="41">
        <v>0.5833333333333334</v>
      </c>
      <c r="C9" s="42" t="s">
        <v>133</v>
      </c>
      <c r="D9" s="42" t="s">
        <v>133</v>
      </c>
      <c r="E9" s="44"/>
      <c r="F9" s="41">
        <f t="shared" ref="F9:F10" si="10">G8</f>
        <v>0.5277777778</v>
      </c>
      <c r="G9" s="41">
        <v>0.5833333333333334</v>
      </c>
      <c r="H9" s="42" t="s">
        <v>133</v>
      </c>
      <c r="I9" s="42" t="s">
        <v>133</v>
      </c>
    </row>
    <row r="10">
      <c r="A10" s="11">
        <f t="shared" si="9"/>
        <v>0.5833333333</v>
      </c>
      <c r="B10" s="11">
        <f t="shared" ref="B10:B12" si="11">A10+"00:40"</f>
        <v>0.6111111111</v>
      </c>
      <c r="C10" s="55" t="s">
        <v>137</v>
      </c>
      <c r="D10" s="19"/>
      <c r="E10" s="20"/>
      <c r="F10" s="11">
        <f t="shared" si="10"/>
        <v>0.5833333333</v>
      </c>
      <c r="G10" s="11">
        <f t="shared" ref="G10:G12" si="12">F10+"00:40"</f>
        <v>0.6111111111</v>
      </c>
      <c r="H10" s="55" t="s">
        <v>150</v>
      </c>
      <c r="I10" s="19"/>
    </row>
    <row r="11">
      <c r="A11" s="11">
        <f t="shared" ref="A11:A12" si="13">B10+"00:10"</f>
        <v>0.6180555556</v>
      </c>
      <c r="B11" s="11">
        <f t="shared" si="11"/>
        <v>0.6458333333</v>
      </c>
      <c r="C11" s="35" t="s">
        <v>153</v>
      </c>
      <c r="D11" s="35" t="s">
        <v>156</v>
      </c>
      <c r="E11" s="20"/>
      <c r="F11" s="11">
        <f t="shared" ref="F11:F12" si="14">G10+"00:10"</f>
        <v>0.6180555556</v>
      </c>
      <c r="G11" s="11">
        <f t="shared" si="12"/>
        <v>0.6458333333</v>
      </c>
      <c r="H11" s="35" t="s">
        <v>162</v>
      </c>
      <c r="I11" s="35" t="s">
        <v>163</v>
      </c>
    </row>
    <row r="12">
      <c r="A12" s="11">
        <f t="shared" si="13"/>
        <v>0.6527777778</v>
      </c>
      <c r="B12" s="11">
        <f t="shared" si="11"/>
        <v>0.6805555556</v>
      </c>
      <c r="C12" s="35" t="s">
        <v>167</v>
      </c>
      <c r="D12" s="35" t="s">
        <v>169</v>
      </c>
      <c r="E12" s="20"/>
      <c r="F12" s="11">
        <f t="shared" si="14"/>
        <v>0.6527777778</v>
      </c>
      <c r="G12" s="11">
        <f t="shared" si="12"/>
        <v>0.6805555556</v>
      </c>
      <c r="H12" s="35" t="s">
        <v>173</v>
      </c>
      <c r="I12" s="35" t="s">
        <v>174</v>
      </c>
    </row>
    <row r="13">
      <c r="A13" s="41">
        <f t="shared" ref="A13:A14" si="15">B12</f>
        <v>0.6805555556</v>
      </c>
      <c r="B13" s="41">
        <f>A13+"00:20"</f>
        <v>0.6944444444</v>
      </c>
      <c r="C13" s="42" t="s">
        <v>93</v>
      </c>
      <c r="D13" s="42" t="s">
        <v>93</v>
      </c>
      <c r="E13" s="44"/>
      <c r="F13" s="41">
        <f t="shared" ref="F13:F15" si="16">G12</f>
        <v>0.6805555556</v>
      </c>
      <c r="G13" s="41">
        <f>F13+"00:20"</f>
        <v>0.6944444444</v>
      </c>
      <c r="H13" s="42" t="s">
        <v>93</v>
      </c>
      <c r="I13" s="42" t="s">
        <v>93</v>
      </c>
    </row>
    <row r="14">
      <c r="A14" s="11">
        <f t="shared" si="15"/>
        <v>0.6944444444</v>
      </c>
      <c r="B14" s="11">
        <f t="shared" ref="B14:B15" si="17">A14+"00:40"</f>
        <v>0.7222222222</v>
      </c>
      <c r="C14" s="35" t="s">
        <v>183</v>
      </c>
      <c r="D14" s="35" t="s">
        <v>184</v>
      </c>
      <c r="E14" s="20"/>
      <c r="F14" s="11">
        <f t="shared" si="16"/>
        <v>0.6944444444</v>
      </c>
      <c r="G14" s="11">
        <f>F14+"00:40"</f>
        <v>0.7222222222</v>
      </c>
      <c r="H14" s="35" t="s">
        <v>188</v>
      </c>
      <c r="I14" s="35" t="s">
        <v>189</v>
      </c>
    </row>
    <row r="15">
      <c r="A15" s="11">
        <f>B14+"00:10"</f>
        <v>0.7291666667</v>
      </c>
      <c r="B15" s="11">
        <f t="shared" si="17"/>
        <v>0.7569444444</v>
      </c>
      <c r="C15" s="35" t="s">
        <v>195</v>
      </c>
      <c r="D15" s="35" t="s">
        <v>197</v>
      </c>
      <c r="E15" s="20"/>
      <c r="F15" s="11">
        <f t="shared" si="16"/>
        <v>0.7222222222</v>
      </c>
      <c r="G15" s="11">
        <f>F15+"00:10"</f>
        <v>0.7291666667</v>
      </c>
      <c r="H15" s="18" t="s">
        <v>205</v>
      </c>
      <c r="I15" s="19"/>
    </row>
    <row r="16">
      <c r="A16" s="63"/>
      <c r="B16" s="63"/>
      <c r="C16" s="63"/>
      <c r="D16" s="63"/>
      <c r="E16" s="63"/>
      <c r="F16" s="63"/>
      <c r="G16" s="63"/>
      <c r="H16" s="63"/>
      <c r="I16" s="20"/>
    </row>
    <row r="17">
      <c r="A17" s="64"/>
      <c r="B17" s="65"/>
      <c r="C17" s="20"/>
      <c r="D17" s="20"/>
      <c r="E17" s="20"/>
      <c r="F17" s="64"/>
      <c r="G17" s="65"/>
      <c r="H17" s="20"/>
      <c r="I17" s="20"/>
    </row>
    <row r="18">
      <c r="A18" s="64"/>
      <c r="B18" s="65"/>
      <c r="C18" s="66" t="s">
        <v>223</v>
      </c>
      <c r="E18" s="20"/>
      <c r="F18" s="64"/>
      <c r="G18" s="65"/>
      <c r="H18" s="20"/>
      <c r="I18" s="20"/>
    </row>
    <row r="19">
      <c r="A19" s="64"/>
      <c r="B19" s="65"/>
      <c r="C19" s="66" t="s">
        <v>224</v>
      </c>
      <c r="D19" s="68">
        <f>COUNTIF(speakers,"*/PA/*")</f>
        <v>12</v>
      </c>
      <c r="E19" s="20"/>
      <c r="F19" s="64"/>
      <c r="G19" s="65"/>
      <c r="H19" s="20"/>
      <c r="I19" s="20"/>
    </row>
    <row r="20">
      <c r="A20" s="64"/>
      <c r="B20" s="65"/>
      <c r="C20" s="66" t="s">
        <v>206</v>
      </c>
      <c r="D20" s="68">
        <f>COUNTIF(speakers,"*/PB/*")</f>
        <v>11</v>
      </c>
      <c r="E20" s="20"/>
      <c r="F20" s="64"/>
      <c r="G20" s="65"/>
      <c r="H20" s="20"/>
      <c r="I20" s="20"/>
    </row>
    <row r="21">
      <c r="A21" s="64"/>
      <c r="B21" s="65"/>
      <c r="C21" s="66" t="s">
        <v>228</v>
      </c>
      <c r="D21" s="68">
        <f>COUNTIF(speakers,"*/PC/*")</f>
        <v>2</v>
      </c>
      <c r="E21" s="20"/>
      <c r="F21" s="64"/>
      <c r="G21" s="65"/>
      <c r="H21" s="20"/>
      <c r="I21" s="20"/>
    </row>
    <row r="22">
      <c r="A22" s="64"/>
      <c r="B22" s="65"/>
      <c r="C22" s="66" t="s">
        <v>235</v>
      </c>
      <c r="D22" s="68">
        <f>COUNTIF(speakers,"*/PD/*")</f>
        <v>6</v>
      </c>
      <c r="E22" s="20"/>
      <c r="F22" s="64"/>
      <c r="G22" s="65"/>
      <c r="H22" s="20"/>
      <c r="I22" s="20"/>
    </row>
    <row r="23">
      <c r="A23" s="64"/>
      <c r="B23" s="65"/>
      <c r="C23" s="66" t="s">
        <v>240</v>
      </c>
      <c r="D23" s="68">
        <f>COUNTIF(speakers,"*/PE/*")</f>
        <v>2</v>
      </c>
      <c r="E23" s="20"/>
      <c r="F23" s="64"/>
      <c r="G23" s="65"/>
      <c r="H23" s="20"/>
      <c r="I23" s="20"/>
    </row>
    <row r="24">
      <c r="A24" s="64"/>
      <c r="B24" s="65"/>
      <c r="C24" s="70"/>
      <c r="D24" s="72">
        <f>SUM(D19:D23)</f>
        <v>33</v>
      </c>
      <c r="E24" s="20"/>
      <c r="F24" s="64"/>
      <c r="G24" s="65"/>
      <c r="H24" s="20"/>
      <c r="I24" s="20"/>
    </row>
    <row r="25">
      <c r="A25" s="64"/>
      <c r="B25" s="65"/>
      <c r="C25" s="66" t="s">
        <v>256</v>
      </c>
      <c r="D25" s="74">
        <f>COUNTIF(speakers,"*/MC/*")</f>
        <v>33</v>
      </c>
      <c r="E25" s="20"/>
      <c r="F25" s="64"/>
      <c r="G25" s="65"/>
      <c r="H25" s="20"/>
      <c r="I25" s="20"/>
    </row>
    <row r="26">
      <c r="A26" s="64"/>
      <c r="B26" s="65"/>
      <c r="C26" s="66" t="s">
        <v>276</v>
      </c>
      <c r="D26" s="68">
        <f>COUNTIF($B$3:$I$17,"*/PO/*")</f>
        <v>1</v>
      </c>
      <c r="E26" s="20"/>
      <c r="F26" s="64"/>
      <c r="G26" s="65"/>
      <c r="H26" s="20"/>
      <c r="I26" s="20"/>
    </row>
    <row r="27">
      <c r="A27" s="64"/>
      <c r="B27" s="65"/>
      <c r="C27" s="66"/>
      <c r="D27" s="76"/>
      <c r="E27" s="20"/>
      <c r="F27" s="64"/>
      <c r="G27" s="65"/>
      <c r="H27" s="20"/>
      <c r="I27" s="20"/>
    </row>
    <row r="28">
      <c r="A28" s="64"/>
      <c r="B28" s="65"/>
      <c r="C28" s="66" t="s">
        <v>290</v>
      </c>
      <c r="D28" s="68">
        <f>COUNTIF(speakers,"*N4/*")</f>
        <v>4</v>
      </c>
      <c r="E28" s="20"/>
      <c r="F28" s="64"/>
      <c r="G28" s="65"/>
      <c r="H28" s="20"/>
      <c r="I28" s="20"/>
    </row>
    <row r="29">
      <c r="A29" s="64"/>
      <c r="B29" s="65"/>
      <c r="C29" s="66" t="s">
        <v>292</v>
      </c>
      <c r="D29" s="68">
        <f>COUNTIF(speakers,"*/IN3/*")</f>
        <v>9</v>
      </c>
      <c r="E29" s="20"/>
      <c r="F29" s="64"/>
      <c r="G29" s="65"/>
      <c r="H29" s="20"/>
      <c r="I29" s="20"/>
    </row>
    <row r="30">
      <c r="A30" s="64"/>
      <c r="B30" s="65"/>
      <c r="C30" s="66" t="s">
        <v>294</v>
      </c>
      <c r="D30" s="68">
        <f>COUNTIF(speakers,"*/IN2/*")</f>
        <v>15</v>
      </c>
      <c r="E30" s="20"/>
      <c r="F30" s="64"/>
      <c r="G30" s="65"/>
      <c r="H30" s="20"/>
      <c r="I30" s="20"/>
    </row>
    <row r="31">
      <c r="A31" s="64"/>
      <c r="B31" s="65"/>
      <c r="C31" s="66" t="s">
        <v>299</v>
      </c>
      <c r="D31" s="68">
        <f>COUNTIF(speakers,"*NN2/*")+COUNTIF(speakers,"*/NN3/*")</f>
        <v>5</v>
      </c>
      <c r="E31" s="20"/>
      <c r="F31" s="64"/>
      <c r="G31" s="65"/>
      <c r="H31" s="20"/>
      <c r="I31" s="20"/>
    </row>
    <row r="32">
      <c r="A32" s="64"/>
      <c r="B32" s="65"/>
      <c r="C32" s="66"/>
      <c r="D32" s="72">
        <f>SUM(D28:D31)</f>
        <v>33</v>
      </c>
      <c r="E32" s="20"/>
      <c r="F32" s="64"/>
      <c r="G32" s="65"/>
      <c r="H32" s="20"/>
      <c r="I32" s="20"/>
    </row>
    <row r="33">
      <c r="A33" s="64"/>
      <c r="B33" s="65"/>
      <c r="C33" s="66" t="s">
        <v>302</v>
      </c>
      <c r="D33" s="76"/>
      <c r="E33" s="20"/>
      <c r="F33" s="64"/>
      <c r="G33" s="65"/>
      <c r="H33" s="20"/>
      <c r="I33" s="20"/>
    </row>
    <row r="34">
      <c r="A34" s="64"/>
      <c r="B34" s="65"/>
      <c r="C34" s="66" t="s">
        <v>204</v>
      </c>
      <c r="D34" s="76"/>
      <c r="E34" s="20"/>
      <c r="F34" s="64"/>
      <c r="G34" s="65"/>
      <c r="H34" s="20"/>
      <c r="I34" s="20"/>
    </row>
    <row r="35">
      <c r="A35" s="64"/>
      <c r="B35" s="65"/>
      <c r="C35" s="66" t="s">
        <v>113</v>
      </c>
      <c r="D35" s="76"/>
      <c r="E35" s="20"/>
      <c r="F35" s="64"/>
      <c r="G35" s="65"/>
      <c r="H35" s="20"/>
      <c r="I35" s="20"/>
    </row>
    <row r="36">
      <c r="A36" s="64"/>
      <c r="B36" s="65"/>
      <c r="C36" s="66" t="s">
        <v>307</v>
      </c>
      <c r="D36" s="76"/>
      <c r="E36" s="20"/>
      <c r="F36" s="64"/>
      <c r="G36" s="65"/>
      <c r="H36" s="20"/>
      <c r="I36" s="20"/>
    </row>
    <row r="37">
      <c r="A37" s="64"/>
      <c r="B37" s="65"/>
      <c r="C37" s="20"/>
      <c r="D37" s="20"/>
      <c r="E37" s="20"/>
      <c r="F37" s="64"/>
      <c r="G37" s="65"/>
      <c r="H37" s="20"/>
      <c r="I37" s="20"/>
    </row>
  </sheetData>
  <mergeCells count="9">
    <mergeCell ref="H10:I10"/>
    <mergeCell ref="H15:I15"/>
    <mergeCell ref="A1:B1"/>
    <mergeCell ref="F1:G1"/>
    <mergeCell ref="C2:D2"/>
    <mergeCell ref="H2:I2"/>
    <mergeCell ref="C3:D3"/>
    <mergeCell ref="H3:I3"/>
    <mergeCell ref="C10:D10"/>
  </mergeCells>
  <printOptions gridLines="1" horizontalCentered="1"/>
  <pageMargins bottom="0.75" footer="0.0" header="0.0" left="0.25" right="0.25" top="0.75"/>
  <pageSetup fitToHeight="0" paperSize="5"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63"/>
    <col customWidth="1" min="2" max="2" width="25.13"/>
    <col customWidth="1" min="3" max="3" width="13.5"/>
    <col customWidth="1" min="4" max="4" width="6.25"/>
    <col customWidth="1" min="5" max="6" width="6.88"/>
    <col customWidth="1" min="7" max="7" width="7.0"/>
    <col customWidth="1" min="8" max="8" width="12.5"/>
    <col customWidth="1" min="9" max="9" width="18.13"/>
    <col customWidth="1" min="10" max="10" width="19.25"/>
    <col customWidth="1" min="11" max="11" width="14.13"/>
    <col customWidth="1" min="12" max="12" width="25.63"/>
    <col customWidth="1" min="13" max="14" width="3.88"/>
    <col customWidth="1" min="15" max="15" width="5.0"/>
    <col customWidth="1" min="16" max="16" width="8.75"/>
    <col customWidth="1" min="17" max="18" width="7.0"/>
    <col customWidth="1" min="19" max="20" width="18.13"/>
    <col customWidth="1" min="21" max="21" width="37.75"/>
    <col customWidth="1" min="22" max="22" width="10.0"/>
  </cols>
  <sheetData>
    <row r="1" ht="15.0" customHeight="1">
      <c r="A1" s="6" t="s">
        <v>3</v>
      </c>
      <c r="B1" s="6" t="s">
        <v>6</v>
      </c>
      <c r="C1" s="8" t="s">
        <v>8</v>
      </c>
      <c r="D1" s="8" t="s">
        <v>9</v>
      </c>
      <c r="E1" s="6" t="s">
        <v>10</v>
      </c>
      <c r="F1" s="6" t="s">
        <v>12</v>
      </c>
      <c r="G1" s="6" t="s">
        <v>13</v>
      </c>
      <c r="H1" s="6" t="s">
        <v>14</v>
      </c>
      <c r="I1" s="6" t="s">
        <v>15</v>
      </c>
      <c r="J1" s="6" t="s">
        <v>16</v>
      </c>
      <c r="K1" s="8" t="s">
        <v>17</v>
      </c>
      <c r="L1" s="6" t="s">
        <v>19</v>
      </c>
      <c r="M1" s="6" t="s">
        <v>20</v>
      </c>
      <c r="N1" s="6" t="s">
        <v>21</v>
      </c>
      <c r="O1" s="6" t="s">
        <v>22</v>
      </c>
      <c r="P1" s="6" t="s">
        <v>24</v>
      </c>
      <c r="Q1" s="6" t="s">
        <v>26</v>
      </c>
      <c r="R1" s="6" t="s">
        <v>28</v>
      </c>
      <c r="S1" s="6"/>
      <c r="T1" s="6" t="s">
        <v>31</v>
      </c>
      <c r="U1" s="6" t="s">
        <v>33</v>
      </c>
      <c r="V1" s="6"/>
    </row>
    <row r="2" ht="15.0" customHeight="1">
      <c r="A2" s="13">
        <v>1.0</v>
      </c>
      <c r="B2" s="13" t="s">
        <v>39</v>
      </c>
      <c r="C2" s="14" t="s">
        <v>40</v>
      </c>
      <c r="D2" s="15" t="s">
        <v>41</v>
      </c>
      <c r="E2" s="16" t="s">
        <v>42</v>
      </c>
      <c r="F2" s="16">
        <v>3.0</v>
      </c>
      <c r="G2" s="16" t="s">
        <v>56</v>
      </c>
      <c r="H2" s="16" t="s">
        <v>58</v>
      </c>
      <c r="I2" s="16" t="s">
        <v>59</v>
      </c>
      <c r="J2" s="16" t="s">
        <v>61</v>
      </c>
      <c r="K2" s="28" t="s">
        <v>63</v>
      </c>
      <c r="L2" s="36" t="s">
        <v>67</v>
      </c>
      <c r="M2" s="16" t="s">
        <v>20</v>
      </c>
      <c r="N2" s="16" t="s">
        <v>21</v>
      </c>
      <c r="O2" s="38" t="s">
        <v>22</v>
      </c>
      <c r="P2" s="16"/>
      <c r="Q2" s="16"/>
      <c r="R2" s="16" t="s">
        <v>84</v>
      </c>
      <c r="S2" s="45" t="s">
        <v>86</v>
      </c>
      <c r="T2" s="46" t="s">
        <v>80</v>
      </c>
      <c r="U2" s="16" t="s">
        <v>98</v>
      </c>
      <c r="V2" s="13"/>
    </row>
    <row r="3" ht="15.0" customHeight="1">
      <c r="A3" s="13">
        <v>2.0</v>
      </c>
      <c r="B3" s="13" t="s">
        <v>101</v>
      </c>
      <c r="C3" s="47" t="s">
        <v>102</v>
      </c>
      <c r="D3" s="15" t="s">
        <v>11</v>
      </c>
      <c r="E3" s="48" t="s">
        <v>109</v>
      </c>
      <c r="F3" s="48">
        <v>2.0</v>
      </c>
      <c r="G3" s="48" t="s">
        <v>117</v>
      </c>
      <c r="H3" s="48" t="s">
        <v>119</v>
      </c>
      <c r="I3" s="48" t="s">
        <v>122</v>
      </c>
      <c r="J3" s="48" t="s">
        <v>125</v>
      </c>
      <c r="K3" s="49" t="s">
        <v>128</v>
      </c>
      <c r="L3" s="53" t="s">
        <v>130</v>
      </c>
      <c r="M3" s="48" t="s">
        <v>20</v>
      </c>
      <c r="N3" s="48" t="s">
        <v>21</v>
      </c>
      <c r="O3" s="38" t="s">
        <v>22</v>
      </c>
      <c r="P3" s="48" t="s">
        <v>135</v>
      </c>
      <c r="Q3" s="48"/>
      <c r="R3" s="48" t="s">
        <v>136</v>
      </c>
      <c r="S3" s="58" t="s">
        <v>138</v>
      </c>
      <c r="T3" s="59" t="s">
        <v>155</v>
      </c>
      <c r="U3" s="48" t="s">
        <v>160</v>
      </c>
      <c r="V3" s="13"/>
    </row>
    <row r="4" ht="15.0" customHeight="1">
      <c r="A4" s="13">
        <v>3.0</v>
      </c>
      <c r="B4" s="13" t="s">
        <v>161</v>
      </c>
      <c r="C4" s="14" t="s">
        <v>40</v>
      </c>
      <c r="D4" s="15" t="s">
        <v>41</v>
      </c>
      <c r="E4" s="16" t="s">
        <v>42</v>
      </c>
      <c r="F4" s="16">
        <v>2.0</v>
      </c>
      <c r="G4" s="16" t="s">
        <v>164</v>
      </c>
      <c r="H4" s="16" t="s">
        <v>165</v>
      </c>
      <c r="I4" s="16" t="s">
        <v>166</v>
      </c>
      <c r="J4" s="16" t="s">
        <v>168</v>
      </c>
      <c r="K4" s="61" t="s">
        <v>171</v>
      </c>
      <c r="L4" s="36" t="s">
        <v>172</v>
      </c>
      <c r="M4" s="16" t="s">
        <v>20</v>
      </c>
      <c r="N4" s="16" t="s">
        <v>21</v>
      </c>
      <c r="O4" s="38" t="s">
        <v>22</v>
      </c>
      <c r="P4" s="16" t="s">
        <v>135</v>
      </c>
      <c r="Q4" s="16"/>
      <c r="R4" s="16" t="s">
        <v>84</v>
      </c>
      <c r="S4" s="45" t="s">
        <v>180</v>
      </c>
      <c r="T4" s="46" t="s">
        <v>193</v>
      </c>
      <c r="U4" s="16" t="s">
        <v>194</v>
      </c>
      <c r="V4" s="13"/>
    </row>
    <row r="5" ht="15.0" customHeight="1">
      <c r="A5" s="13">
        <v>4.0</v>
      </c>
      <c r="B5" s="13" t="s">
        <v>196</v>
      </c>
      <c r="C5" s="47" t="s">
        <v>199</v>
      </c>
      <c r="D5" s="62" t="s">
        <v>201</v>
      </c>
      <c r="E5" s="48" t="s">
        <v>42</v>
      </c>
      <c r="F5" s="48">
        <v>3.0</v>
      </c>
      <c r="G5" s="48" t="s">
        <v>117</v>
      </c>
      <c r="H5" s="48" t="s">
        <v>207</v>
      </c>
      <c r="I5" s="48" t="s">
        <v>208</v>
      </c>
      <c r="J5" s="48" t="s">
        <v>210</v>
      </c>
      <c r="K5" s="49" t="s">
        <v>212</v>
      </c>
      <c r="L5" s="67" t="s">
        <v>215</v>
      </c>
      <c r="M5" s="48" t="s">
        <v>20</v>
      </c>
      <c r="N5" s="48" t="s">
        <v>21</v>
      </c>
      <c r="O5" s="38" t="s">
        <v>22</v>
      </c>
      <c r="P5" s="48"/>
      <c r="Q5" s="48"/>
      <c r="R5" s="48" t="s">
        <v>84</v>
      </c>
      <c r="S5" s="58" t="s">
        <v>225</v>
      </c>
      <c r="T5" s="59" t="s">
        <v>237</v>
      </c>
      <c r="U5" s="48" t="s">
        <v>239</v>
      </c>
      <c r="V5" s="13"/>
    </row>
    <row r="6" ht="15.0" customHeight="1">
      <c r="A6" s="13">
        <v>5.0</v>
      </c>
      <c r="B6" s="13" t="s">
        <v>241</v>
      </c>
      <c r="C6" s="14" t="s">
        <v>242</v>
      </c>
      <c r="D6" s="15" t="s">
        <v>243</v>
      </c>
      <c r="E6" s="16" t="s">
        <v>42</v>
      </c>
      <c r="F6" s="16">
        <v>2.0</v>
      </c>
      <c r="G6" s="16" t="s">
        <v>244</v>
      </c>
      <c r="H6" s="16" t="s">
        <v>245</v>
      </c>
      <c r="I6" s="16" t="s">
        <v>246</v>
      </c>
      <c r="J6" s="16" t="s">
        <v>248</v>
      </c>
      <c r="K6" s="71" t="s">
        <v>249</v>
      </c>
      <c r="L6" s="36" t="s">
        <v>253</v>
      </c>
      <c r="M6" s="16" t="s">
        <v>20</v>
      </c>
      <c r="N6" s="16" t="s">
        <v>21</v>
      </c>
      <c r="O6" s="16"/>
      <c r="P6" s="16"/>
      <c r="Q6" s="16"/>
      <c r="R6" s="16" t="s">
        <v>84</v>
      </c>
      <c r="S6" s="45" t="s">
        <v>263</v>
      </c>
      <c r="T6" s="75" t="s">
        <v>272</v>
      </c>
      <c r="U6" s="16" t="s">
        <v>275</v>
      </c>
      <c r="V6" s="13"/>
    </row>
    <row r="7" ht="15.0" customHeight="1">
      <c r="A7" s="13">
        <v>6.0</v>
      </c>
      <c r="B7" s="13" t="s">
        <v>278</v>
      </c>
      <c r="C7" s="47" t="s">
        <v>279</v>
      </c>
      <c r="D7" s="15" t="s">
        <v>41</v>
      </c>
      <c r="E7" s="48" t="s">
        <v>42</v>
      </c>
      <c r="F7" s="48">
        <v>2.0</v>
      </c>
      <c r="G7" s="48" t="s">
        <v>56</v>
      </c>
      <c r="H7" s="48" t="s">
        <v>283</v>
      </c>
      <c r="I7" s="48" t="s">
        <v>285</v>
      </c>
      <c r="J7" s="48" t="s">
        <v>288</v>
      </c>
      <c r="K7" s="77" t="s">
        <v>289</v>
      </c>
      <c r="L7" s="53" t="s">
        <v>291</v>
      </c>
      <c r="M7" s="48" t="s">
        <v>20</v>
      </c>
      <c r="N7" s="48" t="s">
        <v>21</v>
      </c>
      <c r="O7" s="38" t="s">
        <v>22</v>
      </c>
      <c r="P7" s="48" t="s">
        <v>135</v>
      </c>
      <c r="Q7" s="48"/>
      <c r="R7" s="48" t="s">
        <v>84</v>
      </c>
      <c r="S7" s="58" t="s">
        <v>297</v>
      </c>
      <c r="T7" s="86" t="s">
        <v>304</v>
      </c>
      <c r="U7" s="48" t="s">
        <v>306</v>
      </c>
      <c r="V7" s="13"/>
    </row>
    <row r="8" ht="15.0" customHeight="1">
      <c r="A8" s="13">
        <v>7.0</v>
      </c>
      <c r="B8" s="13" t="s">
        <v>309</v>
      </c>
      <c r="C8" s="14" t="s">
        <v>102</v>
      </c>
      <c r="D8" s="62" t="s">
        <v>11</v>
      </c>
      <c r="E8" s="16" t="s">
        <v>109</v>
      </c>
      <c r="F8" s="16">
        <v>2.0</v>
      </c>
      <c r="G8" s="16" t="s">
        <v>56</v>
      </c>
      <c r="H8" s="16" t="s">
        <v>310</v>
      </c>
      <c r="I8" s="16" t="s">
        <v>311</v>
      </c>
      <c r="J8" s="16" t="s">
        <v>313</v>
      </c>
      <c r="K8" s="89" t="s">
        <v>317</v>
      </c>
      <c r="L8" s="36" t="s">
        <v>320</v>
      </c>
      <c r="M8" s="16" t="s">
        <v>20</v>
      </c>
      <c r="N8" s="16" t="s">
        <v>21</v>
      </c>
      <c r="O8" s="38" t="s">
        <v>22</v>
      </c>
      <c r="P8" s="16" t="s">
        <v>135</v>
      </c>
      <c r="Q8" s="16" t="s">
        <v>326</v>
      </c>
      <c r="R8" s="16" t="s">
        <v>136</v>
      </c>
      <c r="S8" s="45" t="s">
        <v>327</v>
      </c>
      <c r="T8" s="75" t="s">
        <v>332</v>
      </c>
      <c r="U8" s="16" t="s">
        <v>333</v>
      </c>
      <c r="V8" s="13"/>
    </row>
    <row r="9" ht="15.0" customHeight="1">
      <c r="A9" s="13">
        <v>8.0</v>
      </c>
      <c r="B9" s="13" t="s">
        <v>335</v>
      </c>
      <c r="C9" s="47" t="s">
        <v>336</v>
      </c>
      <c r="D9" s="62" t="s">
        <v>243</v>
      </c>
      <c r="E9" s="48" t="s">
        <v>42</v>
      </c>
      <c r="F9" s="48">
        <v>2.0</v>
      </c>
      <c r="G9" s="48" t="s">
        <v>117</v>
      </c>
      <c r="H9" s="48" t="s">
        <v>338</v>
      </c>
      <c r="I9" s="48" t="s">
        <v>340</v>
      </c>
      <c r="J9" s="48" t="s">
        <v>342</v>
      </c>
      <c r="K9" s="49" t="s">
        <v>344</v>
      </c>
      <c r="L9" s="53" t="s">
        <v>346</v>
      </c>
      <c r="M9" s="48" t="s">
        <v>20</v>
      </c>
      <c r="N9" s="48" t="s">
        <v>21</v>
      </c>
      <c r="O9" s="38" t="s">
        <v>22</v>
      </c>
      <c r="P9" s="48"/>
      <c r="Q9" s="48"/>
      <c r="R9" s="48" t="s">
        <v>84</v>
      </c>
      <c r="S9" s="58" t="s">
        <v>353</v>
      </c>
      <c r="T9" s="59" t="s">
        <v>367</v>
      </c>
      <c r="U9" s="48" t="s">
        <v>369</v>
      </c>
      <c r="V9" s="13"/>
    </row>
    <row r="10" ht="15.0" customHeight="1">
      <c r="A10" s="13">
        <v>9.0</v>
      </c>
      <c r="B10" s="13" t="s">
        <v>372</v>
      </c>
      <c r="C10" s="14" t="s">
        <v>40</v>
      </c>
      <c r="D10" s="62" t="s">
        <v>41</v>
      </c>
      <c r="E10" s="16" t="s">
        <v>42</v>
      </c>
      <c r="F10" s="16">
        <v>3.0</v>
      </c>
      <c r="G10" s="16" t="s">
        <v>117</v>
      </c>
      <c r="H10" s="16" t="s">
        <v>377</v>
      </c>
      <c r="I10" s="16" t="s">
        <v>378</v>
      </c>
      <c r="J10" s="16" t="s">
        <v>379</v>
      </c>
      <c r="K10" s="61" t="s">
        <v>382</v>
      </c>
      <c r="L10" s="36" t="s">
        <v>386</v>
      </c>
      <c r="M10" s="16" t="s">
        <v>20</v>
      </c>
      <c r="N10" s="16" t="s">
        <v>21</v>
      </c>
      <c r="O10" s="38" t="s">
        <v>22</v>
      </c>
      <c r="P10" s="16"/>
      <c r="Q10" s="16"/>
      <c r="R10" s="16" t="s">
        <v>84</v>
      </c>
      <c r="S10" s="45" t="s">
        <v>394</v>
      </c>
      <c r="T10" s="46" t="s">
        <v>399</v>
      </c>
      <c r="U10" s="16" t="s">
        <v>401</v>
      </c>
      <c r="V10" s="13"/>
    </row>
    <row r="11" ht="15.0" customHeight="1">
      <c r="A11" s="13">
        <v>10.0</v>
      </c>
      <c r="B11" s="13" t="s">
        <v>403</v>
      </c>
      <c r="C11" s="47" t="s">
        <v>404</v>
      </c>
      <c r="D11" s="15" t="s">
        <v>11</v>
      </c>
      <c r="E11" s="48" t="s">
        <v>42</v>
      </c>
      <c r="F11" s="48">
        <v>2.0</v>
      </c>
      <c r="G11" s="48" t="s">
        <v>117</v>
      </c>
      <c r="H11" s="48" t="s">
        <v>338</v>
      </c>
      <c r="I11" s="48" t="s">
        <v>409</v>
      </c>
      <c r="J11" s="48" t="s">
        <v>410</v>
      </c>
      <c r="K11" s="49" t="s">
        <v>411</v>
      </c>
      <c r="L11" s="53" t="s">
        <v>412</v>
      </c>
      <c r="M11" s="48" t="s">
        <v>20</v>
      </c>
      <c r="N11" s="48" t="s">
        <v>21</v>
      </c>
      <c r="O11" s="38" t="s">
        <v>22</v>
      </c>
      <c r="P11" s="48"/>
      <c r="Q11" s="48"/>
      <c r="R11" s="48" t="s">
        <v>84</v>
      </c>
      <c r="S11" s="58" t="s">
        <v>416</v>
      </c>
      <c r="T11" s="59" t="s">
        <v>424</v>
      </c>
      <c r="U11" s="48" t="s">
        <v>425</v>
      </c>
      <c r="V11" s="13"/>
    </row>
    <row r="12" ht="15.0" customHeight="1">
      <c r="A12" s="13">
        <v>11.0</v>
      </c>
      <c r="B12" s="13" t="s">
        <v>426</v>
      </c>
      <c r="C12" s="14" t="s">
        <v>102</v>
      </c>
      <c r="D12" s="15" t="s">
        <v>11</v>
      </c>
      <c r="E12" s="16" t="s">
        <v>109</v>
      </c>
      <c r="F12" s="16">
        <v>3.0</v>
      </c>
      <c r="G12" s="16" t="s">
        <v>56</v>
      </c>
      <c r="H12" s="16" t="s">
        <v>310</v>
      </c>
      <c r="I12" s="16" t="s">
        <v>429</v>
      </c>
      <c r="J12" s="16" t="s">
        <v>430</v>
      </c>
      <c r="K12" s="61" t="s">
        <v>431</v>
      </c>
      <c r="L12" s="36" t="s">
        <v>432</v>
      </c>
      <c r="M12" s="16" t="s">
        <v>20</v>
      </c>
      <c r="N12" s="16" t="s">
        <v>21</v>
      </c>
      <c r="O12" s="38" t="s">
        <v>22</v>
      </c>
      <c r="P12" s="16"/>
      <c r="Q12" s="16"/>
      <c r="R12" s="16" t="s">
        <v>136</v>
      </c>
      <c r="S12" s="45" t="s">
        <v>433</v>
      </c>
      <c r="T12" s="46" t="s">
        <v>439</v>
      </c>
      <c r="U12" s="16" t="s">
        <v>438</v>
      </c>
      <c r="V12" s="13"/>
    </row>
    <row r="13" ht="15.0" customHeight="1">
      <c r="A13" s="13">
        <v>12.0</v>
      </c>
      <c r="B13" s="105" t="s">
        <v>443</v>
      </c>
      <c r="C13" s="47" t="s">
        <v>444</v>
      </c>
      <c r="D13" s="62" t="s">
        <v>41</v>
      </c>
      <c r="E13" s="48" t="s">
        <v>42</v>
      </c>
      <c r="F13" s="48">
        <v>2.0</v>
      </c>
      <c r="G13" s="48" t="s">
        <v>447</v>
      </c>
      <c r="H13" s="48" t="s">
        <v>449</v>
      </c>
      <c r="I13" s="48" t="s">
        <v>450</v>
      </c>
      <c r="J13" s="48" t="s">
        <v>451</v>
      </c>
      <c r="K13" s="77" t="s">
        <v>453</v>
      </c>
      <c r="L13" s="53" t="s">
        <v>456</v>
      </c>
      <c r="M13" s="48" t="s">
        <v>20</v>
      </c>
      <c r="N13" s="48" t="s">
        <v>21</v>
      </c>
      <c r="O13" s="38" t="s">
        <v>22</v>
      </c>
      <c r="P13" s="48"/>
      <c r="Q13" s="48"/>
      <c r="R13" s="48" t="s">
        <v>84</v>
      </c>
      <c r="S13" s="58" t="s">
        <v>461</v>
      </c>
      <c r="T13" s="86" t="s">
        <v>472</v>
      </c>
      <c r="U13" s="48" t="s">
        <v>473</v>
      </c>
      <c r="V13" s="13"/>
    </row>
    <row r="14" ht="15.0" customHeight="1">
      <c r="A14" s="13">
        <v>13.0</v>
      </c>
      <c r="B14" s="108" t="s">
        <v>476</v>
      </c>
      <c r="C14" s="14" t="s">
        <v>40</v>
      </c>
      <c r="D14" s="62" t="s">
        <v>41</v>
      </c>
      <c r="E14" s="16" t="s">
        <v>42</v>
      </c>
      <c r="F14" s="16">
        <v>2.0</v>
      </c>
      <c r="G14" s="16" t="s">
        <v>117</v>
      </c>
      <c r="H14" s="16" t="s">
        <v>338</v>
      </c>
      <c r="I14" s="16" t="s">
        <v>480</v>
      </c>
      <c r="J14" s="16" t="s">
        <v>482</v>
      </c>
      <c r="K14" s="89" t="s">
        <v>484</v>
      </c>
      <c r="L14" s="36" t="s">
        <v>487</v>
      </c>
      <c r="M14" s="16" t="s">
        <v>20</v>
      </c>
      <c r="N14" s="16" t="s">
        <v>21</v>
      </c>
      <c r="O14" s="16"/>
      <c r="P14" s="16"/>
      <c r="Q14" s="16"/>
      <c r="R14" s="16" t="s">
        <v>84</v>
      </c>
      <c r="S14" s="45" t="s">
        <v>488</v>
      </c>
      <c r="T14" s="75" t="s">
        <v>492</v>
      </c>
      <c r="U14" s="16" t="s">
        <v>493</v>
      </c>
      <c r="V14" s="13"/>
    </row>
    <row r="15" ht="15.0" customHeight="1">
      <c r="A15" s="13">
        <v>14.0</v>
      </c>
      <c r="B15" s="13" t="s">
        <v>440</v>
      </c>
      <c r="C15" s="47" t="s">
        <v>102</v>
      </c>
      <c r="D15" s="62" t="s">
        <v>11</v>
      </c>
      <c r="E15" s="48" t="s">
        <v>109</v>
      </c>
      <c r="F15" s="48">
        <v>3.0</v>
      </c>
      <c r="G15" s="48" t="s">
        <v>244</v>
      </c>
      <c r="H15" s="48" t="s">
        <v>385</v>
      </c>
      <c r="I15" s="48" t="s">
        <v>454</v>
      </c>
      <c r="J15" s="48" t="s">
        <v>455</v>
      </c>
      <c r="K15" s="109" t="s">
        <v>441</v>
      </c>
      <c r="L15" s="53" t="s">
        <v>494</v>
      </c>
      <c r="M15" s="38" t="s">
        <v>20</v>
      </c>
      <c r="N15" s="48" t="s">
        <v>21</v>
      </c>
      <c r="O15" s="48"/>
      <c r="P15" s="48" t="s">
        <v>135</v>
      </c>
      <c r="Q15" s="48"/>
      <c r="R15" s="48" t="s">
        <v>136</v>
      </c>
      <c r="S15" s="58" t="s">
        <v>496</v>
      </c>
      <c r="T15" s="86" t="s">
        <v>452</v>
      </c>
      <c r="U15" s="48" t="s">
        <v>446</v>
      </c>
      <c r="V15" s="13"/>
    </row>
    <row r="16" ht="15.0" customHeight="1">
      <c r="A16" s="13">
        <v>15.0</v>
      </c>
      <c r="B16" s="13" t="s">
        <v>500</v>
      </c>
      <c r="C16" s="14" t="s">
        <v>458</v>
      </c>
      <c r="D16" s="62" t="s">
        <v>201</v>
      </c>
      <c r="E16" s="16" t="s">
        <v>42</v>
      </c>
      <c r="F16" s="16">
        <v>3.0</v>
      </c>
      <c r="G16" s="16" t="s">
        <v>117</v>
      </c>
      <c r="H16" s="16" t="s">
        <v>207</v>
      </c>
      <c r="I16" s="16" t="s">
        <v>465</v>
      </c>
      <c r="J16" s="16" t="s">
        <v>466</v>
      </c>
      <c r="K16" s="28" t="s">
        <v>509</v>
      </c>
      <c r="L16" s="36" t="s">
        <v>510</v>
      </c>
      <c r="M16" s="16" t="s">
        <v>20</v>
      </c>
      <c r="N16" s="16" t="s">
        <v>21</v>
      </c>
      <c r="O16" s="38" t="s">
        <v>22</v>
      </c>
      <c r="P16" s="16"/>
      <c r="Q16" s="16"/>
      <c r="R16" s="16" t="s">
        <v>84</v>
      </c>
      <c r="S16" s="110" t="s">
        <v>519</v>
      </c>
      <c r="T16" s="111" t="s">
        <v>521</v>
      </c>
      <c r="U16" s="16" t="s">
        <v>462</v>
      </c>
      <c r="V16" s="13"/>
    </row>
    <row r="17" ht="15.0" customHeight="1">
      <c r="A17" s="13">
        <v>16.0</v>
      </c>
      <c r="B17" s="13" t="s">
        <v>471</v>
      </c>
      <c r="C17" s="47" t="s">
        <v>40</v>
      </c>
      <c r="D17" s="15" t="s">
        <v>41</v>
      </c>
      <c r="E17" s="48" t="s">
        <v>42</v>
      </c>
      <c r="F17" s="48">
        <v>3.0</v>
      </c>
      <c r="G17" s="48" t="s">
        <v>56</v>
      </c>
      <c r="H17" s="48" t="s">
        <v>506</v>
      </c>
      <c r="I17" s="48" t="s">
        <v>504</v>
      </c>
      <c r="J17" s="48" t="s">
        <v>505</v>
      </c>
      <c r="K17" s="109" t="s">
        <v>474</v>
      </c>
      <c r="L17" s="53" t="s">
        <v>527</v>
      </c>
      <c r="M17" s="48" t="s">
        <v>20</v>
      </c>
      <c r="N17" s="48" t="s">
        <v>21</v>
      </c>
      <c r="O17" s="38" t="s">
        <v>22</v>
      </c>
      <c r="P17" s="48"/>
      <c r="Q17" s="48"/>
      <c r="R17" s="48" t="s">
        <v>84</v>
      </c>
      <c r="S17" s="58" t="s">
        <v>535</v>
      </c>
      <c r="T17" s="86" t="s">
        <v>502</v>
      </c>
      <c r="U17" s="48" t="s">
        <v>499</v>
      </c>
      <c r="V17" s="13"/>
    </row>
    <row r="18" ht="15.0" customHeight="1">
      <c r="A18" s="13">
        <v>17.0</v>
      </c>
      <c r="B18" s="13" t="s">
        <v>395</v>
      </c>
      <c r="C18" s="14" t="s">
        <v>444</v>
      </c>
      <c r="D18" s="62" t="s">
        <v>41</v>
      </c>
      <c r="E18" s="16" t="s">
        <v>42</v>
      </c>
      <c r="F18" s="16">
        <v>3.0</v>
      </c>
      <c r="G18" s="16" t="s">
        <v>244</v>
      </c>
      <c r="H18" s="16" t="s">
        <v>385</v>
      </c>
      <c r="I18" s="16" t="s">
        <v>407</v>
      </c>
      <c r="J18" s="16" t="s">
        <v>408</v>
      </c>
      <c r="K18" s="61" t="s">
        <v>397</v>
      </c>
      <c r="L18" s="36" t="s">
        <v>612</v>
      </c>
      <c r="M18" s="16" t="s">
        <v>20</v>
      </c>
      <c r="N18" s="16" t="s">
        <v>21</v>
      </c>
      <c r="O18" s="38" t="s">
        <v>22</v>
      </c>
      <c r="P18" s="16"/>
      <c r="Q18" s="16"/>
      <c r="R18" s="16" t="s">
        <v>84</v>
      </c>
      <c r="S18" s="45" t="s">
        <v>622</v>
      </c>
      <c r="T18" s="46" t="s">
        <v>406</v>
      </c>
      <c r="U18" s="16" t="s">
        <v>402</v>
      </c>
      <c r="V18" s="13"/>
    </row>
    <row r="19" ht="15.0" customHeight="1">
      <c r="A19" s="13">
        <v>18.0</v>
      </c>
      <c r="B19" s="13" t="s">
        <v>508</v>
      </c>
      <c r="C19" s="47" t="s">
        <v>511</v>
      </c>
      <c r="D19" s="62" t="s">
        <v>41</v>
      </c>
      <c r="E19" s="48" t="s">
        <v>42</v>
      </c>
      <c r="F19" s="48">
        <v>3.0</v>
      </c>
      <c r="G19" s="48" t="s">
        <v>117</v>
      </c>
      <c r="H19" s="48" t="s">
        <v>119</v>
      </c>
      <c r="I19" s="48" t="s">
        <v>522</v>
      </c>
      <c r="J19" s="48" t="s">
        <v>523</v>
      </c>
      <c r="K19" s="49" t="s">
        <v>513</v>
      </c>
      <c r="L19" s="53" t="s">
        <v>634</v>
      </c>
      <c r="M19" s="48" t="s">
        <v>20</v>
      </c>
      <c r="N19" s="48" t="s">
        <v>21</v>
      </c>
      <c r="O19" s="48"/>
      <c r="P19" s="48"/>
      <c r="Q19" s="48"/>
      <c r="R19" s="48" t="s">
        <v>84</v>
      </c>
      <c r="S19" s="58" t="s">
        <v>639</v>
      </c>
      <c r="T19" s="59" t="s">
        <v>520</v>
      </c>
      <c r="U19" s="48" t="s">
        <v>518</v>
      </c>
      <c r="V19" s="13"/>
    </row>
    <row r="20" ht="15.0" customHeight="1">
      <c r="A20" s="13">
        <v>19.0</v>
      </c>
      <c r="B20" s="13" t="s">
        <v>524</v>
      </c>
      <c r="C20" s="14" t="s">
        <v>40</v>
      </c>
      <c r="D20" s="62" t="s">
        <v>41</v>
      </c>
      <c r="E20" s="16" t="s">
        <v>42</v>
      </c>
      <c r="F20" s="16">
        <v>3.0</v>
      </c>
      <c r="G20" s="16" t="s">
        <v>117</v>
      </c>
      <c r="H20" s="16" t="s">
        <v>207</v>
      </c>
      <c r="I20" s="16" t="s">
        <v>534</v>
      </c>
      <c r="J20" s="16" t="s">
        <v>536</v>
      </c>
      <c r="K20" s="28" t="s">
        <v>649</v>
      </c>
      <c r="L20" s="121" t="s">
        <v>650</v>
      </c>
      <c r="M20" s="16" t="s">
        <v>20</v>
      </c>
      <c r="N20" s="16" t="s">
        <v>21</v>
      </c>
      <c r="O20" s="38" t="s">
        <v>22</v>
      </c>
      <c r="P20" s="16"/>
      <c r="Q20" s="16"/>
      <c r="R20" s="16" t="s">
        <v>84</v>
      </c>
      <c r="S20" s="45" t="s">
        <v>656</v>
      </c>
      <c r="T20" s="46" t="s">
        <v>533</v>
      </c>
      <c r="U20" s="16" t="s">
        <v>529</v>
      </c>
      <c r="V20" s="13"/>
    </row>
    <row r="21" ht="15.0" customHeight="1">
      <c r="A21" s="13">
        <v>20.0</v>
      </c>
      <c r="B21" s="13" t="s">
        <v>660</v>
      </c>
      <c r="C21" s="47" t="s">
        <v>458</v>
      </c>
      <c r="D21" s="62" t="s">
        <v>201</v>
      </c>
      <c r="E21" s="48" t="s">
        <v>42</v>
      </c>
      <c r="F21" s="48">
        <v>2.0</v>
      </c>
      <c r="G21" s="48" t="s">
        <v>164</v>
      </c>
      <c r="H21" s="48" t="s">
        <v>165</v>
      </c>
      <c r="I21" s="48" t="s">
        <v>662</v>
      </c>
      <c r="J21" s="48" t="s">
        <v>663</v>
      </c>
      <c r="K21" s="49" t="s">
        <v>664</v>
      </c>
      <c r="L21" s="53" t="s">
        <v>665</v>
      </c>
      <c r="M21" s="48" t="s">
        <v>20</v>
      </c>
      <c r="N21" s="48" t="s">
        <v>21</v>
      </c>
      <c r="O21" s="38" t="s">
        <v>22</v>
      </c>
      <c r="P21" s="48"/>
      <c r="Q21" s="48"/>
      <c r="R21" s="48" t="s">
        <v>84</v>
      </c>
      <c r="S21" s="58" t="s">
        <v>667</v>
      </c>
      <c r="T21" s="59" t="s">
        <v>674</v>
      </c>
      <c r="U21" s="48" t="s">
        <v>676</v>
      </c>
      <c r="V21" s="13"/>
    </row>
    <row r="22" ht="15.0" customHeight="1">
      <c r="A22" s="13">
        <v>21.0</v>
      </c>
      <c r="B22" s="13" t="s">
        <v>339</v>
      </c>
      <c r="C22" s="14" t="s">
        <v>345</v>
      </c>
      <c r="D22" s="15" t="s">
        <v>679</v>
      </c>
      <c r="E22" s="16" t="s">
        <v>42</v>
      </c>
      <c r="F22" s="16">
        <v>4.0</v>
      </c>
      <c r="G22" s="16" t="s">
        <v>244</v>
      </c>
      <c r="H22" s="16" t="s">
        <v>359</v>
      </c>
      <c r="I22" s="16" t="s">
        <v>357</v>
      </c>
      <c r="J22" s="16" t="s">
        <v>358</v>
      </c>
      <c r="K22" s="89" t="s">
        <v>348</v>
      </c>
      <c r="L22" s="36" t="s">
        <v>680</v>
      </c>
      <c r="M22" s="16" t="s">
        <v>20</v>
      </c>
      <c r="N22" s="16" t="s">
        <v>21</v>
      </c>
      <c r="O22" s="38" t="s">
        <v>22</v>
      </c>
      <c r="P22" s="16"/>
      <c r="Q22" s="16"/>
      <c r="R22" s="16" t="s">
        <v>343</v>
      </c>
      <c r="S22" s="45" t="s">
        <v>689</v>
      </c>
      <c r="T22" s="75" t="s">
        <v>356</v>
      </c>
      <c r="U22" s="16" t="s">
        <v>354</v>
      </c>
      <c r="V22" s="13"/>
    </row>
    <row r="23" ht="15.0" customHeight="1">
      <c r="A23" s="13">
        <v>22.0</v>
      </c>
      <c r="B23" s="13" t="s">
        <v>537</v>
      </c>
      <c r="C23" s="47" t="s">
        <v>102</v>
      </c>
      <c r="D23" s="15" t="s">
        <v>11</v>
      </c>
      <c r="E23" s="48" t="s">
        <v>109</v>
      </c>
      <c r="F23" s="48">
        <v>3.0</v>
      </c>
      <c r="G23" s="48" t="s">
        <v>56</v>
      </c>
      <c r="H23" s="48" t="s">
        <v>58</v>
      </c>
      <c r="I23" s="48" t="s">
        <v>543</v>
      </c>
      <c r="J23" s="48" t="s">
        <v>544</v>
      </c>
      <c r="K23" s="109" t="s">
        <v>538</v>
      </c>
      <c r="L23" s="53" t="s">
        <v>706</v>
      </c>
      <c r="M23" s="48" t="s">
        <v>20</v>
      </c>
      <c r="N23" s="48" t="s">
        <v>21</v>
      </c>
      <c r="O23" s="38" t="s">
        <v>22</v>
      </c>
      <c r="P23" s="48" t="s">
        <v>135</v>
      </c>
      <c r="Q23" s="48"/>
      <c r="R23" s="48" t="s">
        <v>136</v>
      </c>
      <c r="S23" s="58" t="s">
        <v>715</v>
      </c>
      <c r="T23" s="86" t="s">
        <v>542</v>
      </c>
      <c r="U23" s="48" t="s">
        <v>541</v>
      </c>
      <c r="V23" s="13"/>
    </row>
    <row r="24" ht="15.0" customHeight="1">
      <c r="A24" s="13">
        <v>23.0</v>
      </c>
      <c r="B24" s="13" t="s">
        <v>681</v>
      </c>
      <c r="C24" s="14" t="s">
        <v>199</v>
      </c>
      <c r="D24" s="15" t="s">
        <v>201</v>
      </c>
      <c r="E24" s="16" t="s">
        <v>42</v>
      </c>
      <c r="F24" s="16">
        <v>2.0</v>
      </c>
      <c r="G24" s="16" t="s">
        <v>117</v>
      </c>
      <c r="H24" s="16" t="s">
        <v>338</v>
      </c>
      <c r="I24" s="16" t="s">
        <v>691</v>
      </c>
      <c r="J24" s="16" t="s">
        <v>692</v>
      </c>
      <c r="K24" s="61" t="s">
        <v>682</v>
      </c>
      <c r="L24" s="36" t="s">
        <v>735</v>
      </c>
      <c r="M24" s="16" t="s">
        <v>20</v>
      </c>
      <c r="N24" s="16" t="s">
        <v>21</v>
      </c>
      <c r="O24" s="38" t="s">
        <v>22</v>
      </c>
      <c r="P24" s="16" t="s">
        <v>135</v>
      </c>
      <c r="Q24" s="16"/>
      <c r="R24" s="16" t="s">
        <v>84</v>
      </c>
      <c r="S24" s="45" t="s">
        <v>744</v>
      </c>
      <c r="T24" s="46" t="s">
        <v>690</v>
      </c>
      <c r="U24" s="16" t="s">
        <v>688</v>
      </c>
      <c r="V24" s="13"/>
    </row>
    <row r="25" ht="15.0" customHeight="1">
      <c r="A25" s="13">
        <v>24.0</v>
      </c>
      <c r="B25" s="122" t="s">
        <v>545</v>
      </c>
      <c r="C25" s="47" t="s">
        <v>279</v>
      </c>
      <c r="D25" s="15" t="s">
        <v>41</v>
      </c>
      <c r="E25" s="48" t="s">
        <v>42</v>
      </c>
      <c r="F25" s="48">
        <v>3.0</v>
      </c>
      <c r="G25" s="48" t="s">
        <v>56</v>
      </c>
      <c r="H25" s="48" t="s">
        <v>506</v>
      </c>
      <c r="I25" s="48" t="s">
        <v>564</v>
      </c>
      <c r="J25" s="48" t="s">
        <v>565</v>
      </c>
      <c r="K25" s="77" t="s">
        <v>766</v>
      </c>
      <c r="L25" s="53" t="s">
        <v>780</v>
      </c>
      <c r="M25" s="48" t="s">
        <v>20</v>
      </c>
      <c r="N25" s="48" t="s">
        <v>21</v>
      </c>
      <c r="O25" s="38" t="s">
        <v>22</v>
      </c>
      <c r="P25" s="48"/>
      <c r="Q25" s="48"/>
      <c r="R25" s="48" t="s">
        <v>84</v>
      </c>
      <c r="S25" s="58" t="s">
        <v>788</v>
      </c>
      <c r="T25" s="86" t="s">
        <v>563</v>
      </c>
      <c r="U25" s="48" t="s">
        <v>560</v>
      </c>
      <c r="V25" s="13"/>
    </row>
    <row r="26" ht="15.0" customHeight="1">
      <c r="A26" s="13">
        <v>25.0</v>
      </c>
      <c r="B26" s="13" t="s">
        <v>566</v>
      </c>
      <c r="C26" s="14" t="s">
        <v>458</v>
      </c>
      <c r="D26" s="15" t="s">
        <v>201</v>
      </c>
      <c r="E26" s="16" t="s">
        <v>42</v>
      </c>
      <c r="F26" s="16">
        <v>2.0</v>
      </c>
      <c r="G26" s="16" t="s">
        <v>244</v>
      </c>
      <c r="H26" s="16" t="s">
        <v>574</v>
      </c>
      <c r="I26" s="16" t="s">
        <v>572</v>
      </c>
      <c r="J26" s="16" t="s">
        <v>573</v>
      </c>
      <c r="K26" s="89" t="s">
        <v>567</v>
      </c>
      <c r="L26" s="36" t="s">
        <v>810</v>
      </c>
      <c r="M26" s="16" t="s">
        <v>20</v>
      </c>
      <c r="N26" s="16" t="s">
        <v>21</v>
      </c>
      <c r="O26" s="38" t="s">
        <v>22</v>
      </c>
      <c r="P26" s="16" t="s">
        <v>135</v>
      </c>
      <c r="Q26" s="16"/>
      <c r="R26" s="16" t="s">
        <v>84</v>
      </c>
      <c r="S26" s="45" t="s">
        <v>813</v>
      </c>
      <c r="T26" s="75" t="s">
        <v>571</v>
      </c>
      <c r="U26" s="16" t="s">
        <v>570</v>
      </c>
      <c r="V26" s="13"/>
    </row>
    <row r="27" ht="15.0" customHeight="1">
      <c r="A27" s="13">
        <v>26.0</v>
      </c>
      <c r="B27" s="13" t="s">
        <v>361</v>
      </c>
      <c r="C27" s="47" t="s">
        <v>363</v>
      </c>
      <c r="D27" s="62" t="s">
        <v>41</v>
      </c>
      <c r="E27" s="48" t="s">
        <v>42</v>
      </c>
      <c r="F27" s="48">
        <v>4.0</v>
      </c>
      <c r="G27" s="48" t="s">
        <v>244</v>
      </c>
      <c r="H27" s="48" t="s">
        <v>385</v>
      </c>
      <c r="I27" s="48" t="s">
        <v>383</v>
      </c>
      <c r="J27" s="48" t="s">
        <v>384</v>
      </c>
      <c r="K27" s="49" t="s">
        <v>365</v>
      </c>
      <c r="L27" s="53" t="s">
        <v>825</v>
      </c>
      <c r="M27" s="48" t="s">
        <v>20</v>
      </c>
      <c r="N27" s="48" t="s">
        <v>21</v>
      </c>
      <c r="O27" s="48"/>
      <c r="P27" s="48"/>
      <c r="Q27" s="48"/>
      <c r="R27" s="48" t="s">
        <v>343</v>
      </c>
      <c r="S27" s="58" t="s">
        <v>834</v>
      </c>
      <c r="T27" s="59" t="s">
        <v>380</v>
      </c>
      <c r="U27" s="48" t="s">
        <v>374</v>
      </c>
      <c r="V27" s="13"/>
    </row>
    <row r="28" ht="15.0" customHeight="1">
      <c r="A28" s="13">
        <v>27.0</v>
      </c>
      <c r="B28" s="13" t="s">
        <v>575</v>
      </c>
      <c r="C28" s="14" t="s">
        <v>102</v>
      </c>
      <c r="D28" s="62" t="s">
        <v>11</v>
      </c>
      <c r="E28" s="16" t="s">
        <v>109</v>
      </c>
      <c r="F28" s="16">
        <v>3.0</v>
      </c>
      <c r="G28" s="16" t="s">
        <v>244</v>
      </c>
      <c r="H28" s="16" t="s">
        <v>385</v>
      </c>
      <c r="I28" s="16" t="s">
        <v>587</v>
      </c>
      <c r="J28" s="16" t="s">
        <v>589</v>
      </c>
      <c r="K28" s="113" t="s">
        <v>576</v>
      </c>
      <c r="L28" s="36" t="s">
        <v>848</v>
      </c>
      <c r="M28" s="16" t="s">
        <v>20</v>
      </c>
      <c r="N28" s="16" t="s">
        <v>21</v>
      </c>
      <c r="O28" s="38" t="s">
        <v>22</v>
      </c>
      <c r="P28" s="16"/>
      <c r="Q28" s="16"/>
      <c r="R28" s="16" t="s">
        <v>136</v>
      </c>
      <c r="S28" s="45" t="s">
        <v>852</v>
      </c>
      <c r="T28" s="114" t="s">
        <v>585</v>
      </c>
      <c r="U28" s="16" t="s">
        <v>582</v>
      </c>
      <c r="V28" s="13"/>
    </row>
    <row r="29" ht="15.0" customHeight="1">
      <c r="A29" s="13">
        <v>28.0</v>
      </c>
      <c r="B29" s="13" t="s">
        <v>693</v>
      </c>
      <c r="C29" s="47" t="s">
        <v>695</v>
      </c>
      <c r="D29" s="15" t="s">
        <v>11</v>
      </c>
      <c r="E29" s="48" t="s">
        <v>42</v>
      </c>
      <c r="F29" s="48">
        <v>2.0</v>
      </c>
      <c r="G29" s="48" t="s">
        <v>117</v>
      </c>
      <c r="H29" s="48" t="s">
        <v>338</v>
      </c>
      <c r="I29" s="48" t="s">
        <v>700</v>
      </c>
      <c r="J29" s="48" t="s">
        <v>701</v>
      </c>
      <c r="K29" s="49" t="s">
        <v>696</v>
      </c>
      <c r="L29" s="53" t="s">
        <v>864</v>
      </c>
      <c r="M29" s="48" t="s">
        <v>20</v>
      </c>
      <c r="N29" s="48" t="s">
        <v>21</v>
      </c>
      <c r="O29" s="38" t="s">
        <v>22</v>
      </c>
      <c r="P29" s="48"/>
      <c r="Q29" s="48"/>
      <c r="R29" s="48" t="s">
        <v>84</v>
      </c>
      <c r="S29" s="58" t="s">
        <v>870</v>
      </c>
      <c r="T29" s="59" t="s">
        <v>699</v>
      </c>
      <c r="U29" s="48" t="s">
        <v>698</v>
      </c>
      <c r="V29" s="13"/>
    </row>
    <row r="30" ht="15.0" customHeight="1">
      <c r="A30" s="13">
        <v>29.0</v>
      </c>
      <c r="B30" s="13" t="s">
        <v>702</v>
      </c>
      <c r="C30" s="14" t="s">
        <v>404</v>
      </c>
      <c r="D30" s="62" t="s">
        <v>201</v>
      </c>
      <c r="E30" s="16" t="s">
        <v>42</v>
      </c>
      <c r="F30" s="16">
        <v>2.0</v>
      </c>
      <c r="G30" s="16" t="s">
        <v>117</v>
      </c>
      <c r="H30" s="16" t="s">
        <v>338</v>
      </c>
      <c r="I30" s="16" t="s">
        <v>711</v>
      </c>
      <c r="J30" s="16" t="s">
        <v>712</v>
      </c>
      <c r="K30" s="61" t="s">
        <v>704</v>
      </c>
      <c r="L30" s="36" t="s">
        <v>871</v>
      </c>
      <c r="M30" s="16" t="s">
        <v>20</v>
      </c>
      <c r="N30" s="16" t="s">
        <v>21</v>
      </c>
      <c r="O30" s="38" t="s">
        <v>22</v>
      </c>
      <c r="P30" s="16"/>
      <c r="Q30" s="16"/>
      <c r="R30" s="16" t="s">
        <v>84</v>
      </c>
      <c r="S30" s="45" t="s">
        <v>875</v>
      </c>
      <c r="T30" s="46" t="s">
        <v>710</v>
      </c>
      <c r="U30" s="16" t="s">
        <v>709</v>
      </c>
      <c r="V30" s="13"/>
    </row>
    <row r="31" ht="15.0" customHeight="1">
      <c r="A31" s="13">
        <v>30.0</v>
      </c>
      <c r="B31" s="13" t="s">
        <v>714</v>
      </c>
      <c r="C31" s="47" t="s">
        <v>716</v>
      </c>
      <c r="D31" s="15" t="s">
        <v>201</v>
      </c>
      <c r="E31" s="48" t="s">
        <v>42</v>
      </c>
      <c r="F31" s="48">
        <v>2.0</v>
      </c>
      <c r="G31" s="48" t="s">
        <v>117</v>
      </c>
      <c r="H31" s="48" t="s">
        <v>338</v>
      </c>
      <c r="I31" s="48" t="s">
        <v>725</v>
      </c>
      <c r="J31" s="48" t="s">
        <v>726</v>
      </c>
      <c r="K31" s="49" t="s">
        <v>718</v>
      </c>
      <c r="L31" s="67" t="s">
        <v>877</v>
      </c>
      <c r="M31" s="48" t="s">
        <v>20</v>
      </c>
      <c r="N31" s="48" t="s">
        <v>21</v>
      </c>
      <c r="O31" s="38" t="s">
        <v>22</v>
      </c>
      <c r="P31" s="48"/>
      <c r="Q31" s="48"/>
      <c r="R31" s="48" t="s">
        <v>84</v>
      </c>
      <c r="S31" s="58" t="s">
        <v>886</v>
      </c>
      <c r="T31" s="59" t="s">
        <v>724</v>
      </c>
      <c r="U31" s="48" t="s">
        <v>723</v>
      </c>
      <c r="V31" s="13"/>
    </row>
    <row r="32" ht="15.0" customHeight="1">
      <c r="A32" s="13">
        <v>31.0</v>
      </c>
      <c r="B32" s="13" t="s">
        <v>727</v>
      </c>
      <c r="C32" s="14" t="s">
        <v>40</v>
      </c>
      <c r="D32" s="15" t="s">
        <v>41</v>
      </c>
      <c r="E32" s="16" t="s">
        <v>42</v>
      </c>
      <c r="F32" s="16">
        <v>2.0</v>
      </c>
      <c r="G32" s="16" t="s">
        <v>244</v>
      </c>
      <c r="H32" s="16" t="s">
        <v>245</v>
      </c>
      <c r="I32" s="16" t="s">
        <v>737</v>
      </c>
      <c r="J32" s="16" t="s">
        <v>738</v>
      </c>
      <c r="K32" s="28" t="s">
        <v>892</v>
      </c>
      <c r="L32" s="36" t="s">
        <v>895</v>
      </c>
      <c r="M32" s="16" t="s">
        <v>20</v>
      </c>
      <c r="N32" s="16" t="s">
        <v>21</v>
      </c>
      <c r="O32" s="38" t="s">
        <v>22</v>
      </c>
      <c r="P32" s="16"/>
      <c r="Q32" s="16"/>
      <c r="R32" s="16" t="s">
        <v>84</v>
      </c>
      <c r="S32" s="45" t="s">
        <v>898</v>
      </c>
      <c r="T32" s="46" t="s">
        <v>736</v>
      </c>
      <c r="U32" s="16" t="s">
        <v>733</v>
      </c>
      <c r="V32" s="13"/>
    </row>
    <row r="33" ht="15.0" customHeight="1">
      <c r="A33" s="13">
        <v>32.0</v>
      </c>
      <c r="B33" s="13" t="s">
        <v>590</v>
      </c>
      <c r="C33" s="47" t="s">
        <v>242</v>
      </c>
      <c r="D33" s="62" t="s">
        <v>243</v>
      </c>
      <c r="E33" s="48" t="s">
        <v>42</v>
      </c>
      <c r="F33" s="48">
        <v>3.0</v>
      </c>
      <c r="G33" s="48" t="s">
        <v>244</v>
      </c>
      <c r="H33" s="48" t="s">
        <v>385</v>
      </c>
      <c r="I33" s="48" t="s">
        <v>597</v>
      </c>
      <c r="J33" s="48" t="s">
        <v>598</v>
      </c>
      <c r="K33" s="112" t="s">
        <v>909</v>
      </c>
      <c r="L33" s="53" t="s">
        <v>910</v>
      </c>
      <c r="M33" s="48" t="s">
        <v>20</v>
      </c>
      <c r="N33" s="48" t="s">
        <v>21</v>
      </c>
      <c r="O33" s="48"/>
      <c r="P33" s="48"/>
      <c r="Q33" s="48"/>
      <c r="R33" s="48" t="s">
        <v>84</v>
      </c>
      <c r="S33" s="58" t="s">
        <v>922</v>
      </c>
      <c r="T33" s="136" t="s">
        <v>925</v>
      </c>
      <c r="U33" s="48" t="s">
        <v>593</v>
      </c>
      <c r="V33" s="13"/>
    </row>
    <row r="34" ht="15.0" customHeight="1">
      <c r="A34" s="13">
        <v>33.0</v>
      </c>
      <c r="B34" s="13" t="s">
        <v>739</v>
      </c>
      <c r="C34" s="14" t="s">
        <v>740</v>
      </c>
      <c r="D34" s="62" t="s">
        <v>679</v>
      </c>
      <c r="E34" s="16" t="s">
        <v>42</v>
      </c>
      <c r="F34" s="16">
        <v>4.0</v>
      </c>
      <c r="G34" s="16" t="s">
        <v>244</v>
      </c>
      <c r="H34" s="16" t="s">
        <v>245</v>
      </c>
      <c r="I34" s="16" t="s">
        <v>747</v>
      </c>
      <c r="J34" s="16" t="s">
        <v>748</v>
      </c>
      <c r="K34" s="89" t="s">
        <v>742</v>
      </c>
      <c r="L34" s="36" t="s">
        <v>965</v>
      </c>
      <c r="M34" s="16" t="s">
        <v>20</v>
      </c>
      <c r="N34" s="16" t="s">
        <v>21</v>
      </c>
      <c r="O34" s="38" t="s">
        <v>22</v>
      </c>
      <c r="P34" s="16"/>
      <c r="Q34" s="16"/>
      <c r="R34" s="16" t="s">
        <v>343</v>
      </c>
      <c r="S34" s="45" t="s">
        <v>969</v>
      </c>
      <c r="T34" s="75" t="s">
        <v>746</v>
      </c>
      <c r="U34" s="16" t="s">
        <v>745</v>
      </c>
      <c r="V34" s="13"/>
    </row>
    <row r="35" ht="15.0" customHeight="1">
      <c r="A35" s="13">
        <v>34.0</v>
      </c>
      <c r="B35" s="13" t="s">
        <v>749</v>
      </c>
      <c r="C35" s="47" t="s">
        <v>102</v>
      </c>
      <c r="D35" s="15" t="s">
        <v>11</v>
      </c>
      <c r="E35" s="48" t="s">
        <v>109</v>
      </c>
      <c r="F35" s="48">
        <v>2.0</v>
      </c>
      <c r="G35" s="48" t="s">
        <v>244</v>
      </c>
      <c r="H35" s="48" t="s">
        <v>359</v>
      </c>
      <c r="I35" s="48" t="s">
        <v>755</v>
      </c>
      <c r="J35" s="48" t="s">
        <v>756</v>
      </c>
      <c r="K35" s="109" t="s">
        <v>751</v>
      </c>
      <c r="L35" s="53" t="s">
        <v>978</v>
      </c>
      <c r="M35" s="48" t="s">
        <v>20</v>
      </c>
      <c r="N35" s="48" t="s">
        <v>21</v>
      </c>
      <c r="O35" s="38" t="s">
        <v>22</v>
      </c>
      <c r="P35" s="48" t="s">
        <v>135</v>
      </c>
      <c r="Q35" s="48"/>
      <c r="R35" s="48" t="s">
        <v>136</v>
      </c>
      <c r="S35" s="58" t="s">
        <v>983</v>
      </c>
      <c r="T35" s="137" t="s">
        <v>984</v>
      </c>
      <c r="U35" s="48" t="s">
        <v>753</v>
      </c>
      <c r="V35" s="13"/>
    </row>
    <row r="36" ht="15.0" customHeight="1">
      <c r="A36" s="13">
        <v>35.0</v>
      </c>
      <c r="B36" s="13" t="s">
        <v>757</v>
      </c>
      <c r="C36" s="14" t="s">
        <v>759</v>
      </c>
      <c r="D36" s="15" t="s">
        <v>243</v>
      </c>
      <c r="E36" s="16" t="s">
        <v>42</v>
      </c>
      <c r="F36" s="16">
        <v>2.0</v>
      </c>
      <c r="G36" s="16" t="s">
        <v>244</v>
      </c>
      <c r="H36" s="16" t="s">
        <v>385</v>
      </c>
      <c r="I36" s="16" t="s">
        <v>777</v>
      </c>
      <c r="J36" s="16" t="s">
        <v>778</v>
      </c>
      <c r="K36" s="61" t="s">
        <v>761</v>
      </c>
      <c r="L36" s="36" t="s">
        <v>986</v>
      </c>
      <c r="M36" s="16" t="s">
        <v>20</v>
      </c>
      <c r="N36" s="16" t="s">
        <v>21</v>
      </c>
      <c r="O36" s="38" t="s">
        <v>22</v>
      </c>
      <c r="P36" s="16" t="s">
        <v>135</v>
      </c>
      <c r="Q36" s="16"/>
      <c r="R36" s="16" t="s">
        <v>84</v>
      </c>
      <c r="S36" s="45" t="s">
        <v>989</v>
      </c>
      <c r="T36" s="46" t="s">
        <v>776</v>
      </c>
      <c r="U36" s="16" t="s">
        <v>765</v>
      </c>
      <c r="V36" s="13"/>
    </row>
    <row r="37" ht="15.0" customHeight="1">
      <c r="A37" s="13">
        <v>36.0</v>
      </c>
      <c r="B37" s="13" t="s">
        <v>779</v>
      </c>
      <c r="C37" s="47" t="s">
        <v>279</v>
      </c>
      <c r="D37" s="62" t="s">
        <v>41</v>
      </c>
      <c r="E37" s="48" t="s">
        <v>42</v>
      </c>
      <c r="F37" s="48">
        <v>2.0</v>
      </c>
      <c r="G37" s="48" t="s">
        <v>117</v>
      </c>
      <c r="H37" s="48" t="s">
        <v>793</v>
      </c>
      <c r="I37" s="48" t="s">
        <v>791</v>
      </c>
      <c r="J37" s="48" t="s">
        <v>792</v>
      </c>
      <c r="K37" s="49" t="s">
        <v>781</v>
      </c>
      <c r="L37" s="53" t="s">
        <v>996</v>
      </c>
      <c r="M37" s="48" t="s">
        <v>20</v>
      </c>
      <c r="N37" s="48" t="s">
        <v>21</v>
      </c>
      <c r="O37" s="38" t="s">
        <v>22</v>
      </c>
      <c r="P37" s="48"/>
      <c r="Q37" s="48"/>
      <c r="R37" s="48" t="s">
        <v>84</v>
      </c>
      <c r="S37" s="58" t="s">
        <v>1000</v>
      </c>
      <c r="T37" s="59" t="s">
        <v>789</v>
      </c>
      <c r="U37" s="48" t="s">
        <v>786</v>
      </c>
      <c r="V37" s="13"/>
    </row>
    <row r="38" ht="15.0" customHeight="1">
      <c r="A38" s="13">
        <v>37.0</v>
      </c>
      <c r="B38" s="13" t="s">
        <v>795</v>
      </c>
      <c r="C38" s="14" t="s">
        <v>404</v>
      </c>
      <c r="D38" s="62" t="s">
        <v>201</v>
      </c>
      <c r="E38" s="16" t="s">
        <v>42</v>
      </c>
      <c r="F38" s="16">
        <v>2.0</v>
      </c>
      <c r="G38" s="16" t="s">
        <v>56</v>
      </c>
      <c r="H38" s="16" t="s">
        <v>58</v>
      </c>
      <c r="I38" s="16" t="s">
        <v>806</v>
      </c>
      <c r="J38" s="16" t="s">
        <v>808</v>
      </c>
      <c r="K38" s="61" t="s">
        <v>799</v>
      </c>
      <c r="L38" s="36" t="s">
        <v>1038</v>
      </c>
      <c r="M38" s="16" t="s">
        <v>20</v>
      </c>
      <c r="N38" s="16" t="s">
        <v>21</v>
      </c>
      <c r="O38" s="38" t="s">
        <v>22</v>
      </c>
      <c r="P38" s="16"/>
      <c r="Q38" s="16"/>
      <c r="R38" s="16" t="s">
        <v>84</v>
      </c>
      <c r="S38" s="110" t="s">
        <v>1041</v>
      </c>
      <c r="T38" s="46" t="s">
        <v>804</v>
      </c>
      <c r="U38" s="16" t="s">
        <v>802</v>
      </c>
      <c r="V38" s="13"/>
    </row>
    <row r="39" ht="15.0" customHeight="1">
      <c r="A39" s="13">
        <v>38.0</v>
      </c>
      <c r="B39" s="13" t="s">
        <v>599</v>
      </c>
      <c r="C39" s="47" t="s">
        <v>444</v>
      </c>
      <c r="D39" s="15" t="s">
        <v>1044</v>
      </c>
      <c r="E39" s="48" t="s">
        <v>42</v>
      </c>
      <c r="F39" s="48">
        <v>2.0</v>
      </c>
      <c r="G39" s="48" t="s">
        <v>244</v>
      </c>
      <c r="H39" s="48" t="s">
        <v>574</v>
      </c>
      <c r="I39" s="48" t="s">
        <v>604</v>
      </c>
      <c r="J39" s="48" t="s">
        <v>605</v>
      </c>
      <c r="K39" s="49" t="s">
        <v>600</v>
      </c>
      <c r="L39" s="53" t="s">
        <v>1045</v>
      </c>
      <c r="M39" s="48" t="s">
        <v>20</v>
      </c>
      <c r="N39" s="48" t="s">
        <v>21</v>
      </c>
      <c r="O39" s="38" t="s">
        <v>22</v>
      </c>
      <c r="P39" s="48"/>
      <c r="Q39" s="48"/>
      <c r="R39" s="48" t="s">
        <v>84</v>
      </c>
      <c r="S39" s="58" t="s">
        <v>1051</v>
      </c>
      <c r="T39" s="59" t="s">
        <v>603</v>
      </c>
      <c r="U39" s="48" t="s">
        <v>602</v>
      </c>
      <c r="V39" s="13"/>
    </row>
    <row r="40" ht="15.0" customHeight="1">
      <c r="A40" s="13">
        <v>39.0</v>
      </c>
      <c r="B40" s="13" t="s">
        <v>606</v>
      </c>
      <c r="C40" s="14" t="s">
        <v>444</v>
      </c>
      <c r="D40" s="62" t="s">
        <v>243</v>
      </c>
      <c r="E40" s="16" t="s">
        <v>42</v>
      </c>
      <c r="F40" s="16">
        <v>3.0</v>
      </c>
      <c r="G40" s="16" t="s">
        <v>447</v>
      </c>
      <c r="H40" s="16" t="s">
        <v>449</v>
      </c>
      <c r="I40" s="16" t="s">
        <v>615</v>
      </c>
      <c r="J40" s="16" t="s">
        <v>616</v>
      </c>
      <c r="K40" s="61" t="s">
        <v>608</v>
      </c>
      <c r="L40" s="36" t="s">
        <v>1056</v>
      </c>
      <c r="M40" s="16" t="s">
        <v>20</v>
      </c>
      <c r="N40" s="16" t="s">
        <v>21</v>
      </c>
      <c r="O40" s="38" t="s">
        <v>22</v>
      </c>
      <c r="P40" s="16"/>
      <c r="Q40" s="16"/>
      <c r="R40" s="16" t="s">
        <v>84</v>
      </c>
      <c r="S40" s="45" t="s">
        <v>1059</v>
      </c>
      <c r="T40" s="46" t="s">
        <v>613</v>
      </c>
      <c r="U40" s="16" t="s">
        <v>610</v>
      </c>
      <c r="V40" s="13"/>
    </row>
    <row r="41" ht="15.0" customHeight="1">
      <c r="A41" s="13">
        <v>40.0</v>
      </c>
      <c r="B41" s="13" t="s">
        <v>1068</v>
      </c>
      <c r="C41" s="47" t="s">
        <v>388</v>
      </c>
      <c r="D41" s="138" t="s">
        <v>243</v>
      </c>
      <c r="E41" s="48" t="s">
        <v>42</v>
      </c>
      <c r="F41" s="48">
        <v>4.0</v>
      </c>
      <c r="G41" s="48" t="s">
        <v>244</v>
      </c>
      <c r="H41" s="139"/>
      <c r="I41" s="139"/>
      <c r="J41" s="139"/>
      <c r="K41" s="140" t="s">
        <v>1073</v>
      </c>
      <c r="L41" s="141" t="s">
        <v>391</v>
      </c>
      <c r="M41" s="48" t="s">
        <v>20</v>
      </c>
      <c r="N41" s="48" t="s">
        <v>21</v>
      </c>
      <c r="O41" s="48"/>
      <c r="P41" s="48"/>
      <c r="Q41" s="48"/>
      <c r="R41" s="48" t="s">
        <v>343</v>
      </c>
      <c r="S41" s="142"/>
      <c r="T41" s="143" t="s">
        <v>393</v>
      </c>
      <c r="U41" s="119" t="s">
        <v>393</v>
      </c>
      <c r="V41" s="13"/>
    </row>
    <row r="42" ht="15.0" customHeight="1">
      <c r="A42" s="13">
        <v>41.0</v>
      </c>
      <c r="B42" s="115" t="s">
        <v>617</v>
      </c>
      <c r="C42" s="144" t="s">
        <v>618</v>
      </c>
      <c r="D42" s="145" t="s">
        <v>11</v>
      </c>
      <c r="E42" s="16" t="s">
        <v>42</v>
      </c>
      <c r="F42" s="16">
        <v>2.0</v>
      </c>
      <c r="G42" s="16" t="s">
        <v>244</v>
      </c>
      <c r="H42" s="146"/>
      <c r="I42" s="147" t="s">
        <v>1075</v>
      </c>
      <c r="J42" s="146"/>
      <c r="K42" s="148" t="s">
        <v>619</v>
      </c>
      <c r="L42" s="149" t="s">
        <v>620</v>
      </c>
      <c r="M42" s="16" t="s">
        <v>20</v>
      </c>
      <c r="N42" s="16" t="s">
        <v>21</v>
      </c>
      <c r="O42" s="38" t="s">
        <v>22</v>
      </c>
      <c r="P42" s="16" t="s">
        <v>135</v>
      </c>
      <c r="Q42" s="16"/>
      <c r="R42" s="16" t="s">
        <v>84</v>
      </c>
      <c r="S42" s="45" t="s">
        <v>1078</v>
      </c>
      <c r="T42" s="104" t="s">
        <v>1081</v>
      </c>
      <c r="U42" s="103"/>
      <c r="V42" s="13"/>
    </row>
    <row r="43" ht="15.0" customHeight="1">
      <c r="A43" s="13">
        <v>42.0</v>
      </c>
      <c r="B43" s="150" t="s">
        <v>1082</v>
      </c>
      <c r="C43" s="116" t="s">
        <v>1085</v>
      </c>
      <c r="D43" s="15" t="s">
        <v>243</v>
      </c>
      <c r="E43" s="48" t="s">
        <v>42</v>
      </c>
      <c r="F43" s="48">
        <v>3.0</v>
      </c>
      <c r="G43" s="48" t="s">
        <v>447</v>
      </c>
      <c r="H43" s="48" t="s">
        <v>1088</v>
      </c>
      <c r="I43" s="151" t="s">
        <v>1089</v>
      </c>
      <c r="J43" s="151" t="s">
        <v>1090</v>
      </c>
      <c r="K43" s="152" t="s">
        <v>1091</v>
      </c>
      <c r="L43" s="151" t="s">
        <v>1092</v>
      </c>
      <c r="M43" s="48" t="s">
        <v>20</v>
      </c>
      <c r="N43" s="48" t="s">
        <v>21</v>
      </c>
      <c r="O43" s="48"/>
      <c r="P43" s="48"/>
      <c r="Q43" s="48"/>
      <c r="R43" s="48" t="s">
        <v>84</v>
      </c>
      <c r="S43" s="118"/>
      <c r="T43" s="151" t="s">
        <v>1094</v>
      </c>
      <c r="U43" s="153"/>
      <c r="V43" s="105"/>
    </row>
    <row r="44" ht="17.25" customHeight="1">
      <c r="A44" s="13">
        <v>43.0</v>
      </c>
      <c r="B44" s="154" t="s">
        <v>1097</v>
      </c>
      <c r="C44" s="144" t="s">
        <v>102</v>
      </c>
      <c r="D44" s="15" t="s">
        <v>11</v>
      </c>
      <c r="E44" s="16" t="s">
        <v>109</v>
      </c>
      <c r="F44" s="16">
        <v>3.0</v>
      </c>
      <c r="G44" s="16" t="s">
        <v>117</v>
      </c>
      <c r="H44" s="16" t="s">
        <v>1098</v>
      </c>
      <c r="I44" s="155" t="s">
        <v>1099</v>
      </c>
      <c r="J44" s="156" t="s">
        <v>1100</v>
      </c>
      <c r="K44" s="157" t="s">
        <v>1101</v>
      </c>
      <c r="L44" s="156" t="s">
        <v>1102</v>
      </c>
      <c r="M44" s="16"/>
      <c r="N44" s="16"/>
      <c r="O44" s="16"/>
      <c r="P44" s="16"/>
      <c r="Q44" s="16"/>
      <c r="R44" s="16" t="s">
        <v>136</v>
      </c>
      <c r="S44" s="149"/>
      <c r="T44" s="156" t="s">
        <v>1104</v>
      </c>
      <c r="U44" s="158"/>
      <c r="V44" s="105"/>
    </row>
    <row r="45" ht="20.25" customHeight="1">
      <c r="A45" s="13"/>
      <c r="B45" s="159"/>
      <c r="C45" s="134"/>
      <c r="D45" s="134"/>
      <c r="E45" s="105"/>
      <c r="F45" s="105"/>
      <c r="G45" s="105"/>
      <c r="H45" s="105"/>
      <c r="I45" s="105"/>
      <c r="J45" s="105"/>
      <c r="K45" s="134"/>
      <c r="L45" s="115"/>
      <c r="M45" s="13"/>
      <c r="N45" s="13"/>
      <c r="O45" s="13"/>
      <c r="P45" s="13"/>
      <c r="Q45" s="13"/>
      <c r="R45" s="13"/>
      <c r="S45" s="13"/>
      <c r="T45" s="13"/>
      <c r="U45" s="135"/>
      <c r="V45" s="105"/>
    </row>
    <row r="46">
      <c r="A46" s="13"/>
      <c r="B46" s="159"/>
      <c r="C46" s="134"/>
      <c r="D46" s="134"/>
      <c r="E46" s="105"/>
      <c r="F46" s="105"/>
      <c r="G46" s="105"/>
      <c r="H46" s="105"/>
      <c r="I46" s="105"/>
      <c r="J46" s="105"/>
      <c r="K46" s="134"/>
      <c r="L46" s="115"/>
      <c r="M46" s="13"/>
      <c r="N46" s="13"/>
      <c r="O46" s="13"/>
      <c r="P46" s="13">
        <f>counta(P2:P44)</f>
        <v>11</v>
      </c>
      <c r="Q46" s="13"/>
      <c r="R46" s="13"/>
      <c r="S46" s="13"/>
      <c r="T46" s="13"/>
      <c r="U46" s="135"/>
      <c r="V46" s="105"/>
    </row>
    <row r="47" ht="15.0" customHeight="1">
      <c r="A47" s="13"/>
      <c r="B47" s="134"/>
      <c r="C47" s="134"/>
      <c r="D47" s="134"/>
      <c r="E47" s="105"/>
      <c r="F47" s="105"/>
      <c r="G47" s="105"/>
      <c r="H47" s="105"/>
      <c r="I47" s="105"/>
      <c r="J47" s="105"/>
      <c r="K47" s="134"/>
      <c r="L47" s="115"/>
      <c r="M47" s="13"/>
      <c r="N47" s="13"/>
      <c r="O47" s="13"/>
      <c r="P47" s="13"/>
      <c r="Q47" s="13"/>
      <c r="R47" s="13"/>
      <c r="S47" s="13"/>
      <c r="T47" s="13"/>
      <c r="U47" s="135"/>
      <c r="V47" s="105"/>
    </row>
    <row r="48" ht="15.0" customHeight="1">
      <c r="A48" s="13"/>
      <c r="B48" s="134"/>
      <c r="C48" s="134"/>
      <c r="D48" s="134"/>
      <c r="E48" s="105"/>
      <c r="F48" s="105"/>
      <c r="G48" s="105"/>
      <c r="H48" s="105"/>
      <c r="I48" s="105"/>
      <c r="J48" s="105"/>
      <c r="K48" s="134"/>
      <c r="L48" s="115"/>
      <c r="M48" s="13"/>
      <c r="N48" s="13"/>
      <c r="O48" s="13"/>
      <c r="P48" s="13"/>
      <c r="Q48" s="13"/>
      <c r="R48" s="13"/>
      <c r="S48" s="13"/>
      <c r="T48" s="13"/>
      <c r="U48" s="135"/>
      <c r="V48" s="105"/>
    </row>
    <row r="49" ht="15.0" customHeight="1">
      <c r="A49" s="13"/>
      <c r="B49" s="134"/>
      <c r="C49" s="134"/>
      <c r="D49" s="134"/>
      <c r="E49" s="105"/>
      <c r="F49" s="105"/>
      <c r="G49" s="105"/>
      <c r="H49" s="105"/>
      <c r="I49" s="105"/>
      <c r="J49" s="105"/>
      <c r="K49" s="134"/>
      <c r="L49" s="115"/>
      <c r="M49" s="13"/>
      <c r="N49" s="13"/>
      <c r="O49" s="13"/>
      <c r="P49" s="13"/>
      <c r="Q49" s="13"/>
      <c r="R49" s="13"/>
      <c r="S49" s="13"/>
      <c r="T49" s="13"/>
      <c r="U49" s="135"/>
      <c r="V49" s="105"/>
    </row>
    <row r="50" ht="15.0" customHeight="1">
      <c r="A50" s="13"/>
      <c r="B50" s="134"/>
      <c r="C50" s="134"/>
      <c r="D50" s="134"/>
      <c r="E50" s="105"/>
      <c r="F50" s="105"/>
      <c r="G50" s="105"/>
      <c r="H50" s="105"/>
      <c r="I50" s="105"/>
      <c r="J50" s="105"/>
      <c r="K50" s="134"/>
      <c r="L50" s="115"/>
      <c r="M50" s="13"/>
      <c r="N50" s="13"/>
      <c r="O50" s="13"/>
      <c r="P50" s="13"/>
      <c r="Q50" s="13"/>
      <c r="R50" s="13"/>
      <c r="S50" s="13"/>
      <c r="T50" s="13"/>
      <c r="U50" s="135"/>
      <c r="V50" s="105"/>
    </row>
  </sheetData>
  <autoFilter ref="$A$1:$V$44">
    <sortState ref="A1:V44">
      <sortCondition ref="A1:A44"/>
    </sortState>
  </autoFilter>
  <hyperlinks>
    <hyperlink r:id="rId1" ref="L2"/>
    <hyperlink r:id="rId2" ref="S2"/>
    <hyperlink r:id="rId3" ref="L3"/>
    <hyperlink r:id="rId4" ref="S3"/>
    <hyperlink r:id="rId5" ref="L4"/>
    <hyperlink r:id="rId6" ref="S4"/>
    <hyperlink r:id="rId7" ref="L5"/>
    <hyperlink r:id="rId8" ref="S5"/>
    <hyperlink r:id="rId9" ref="L6"/>
    <hyperlink r:id="rId10" ref="S6"/>
    <hyperlink r:id="rId11" ref="L7"/>
    <hyperlink r:id="rId12" ref="S7"/>
    <hyperlink r:id="rId13" ref="L8"/>
    <hyperlink r:id="rId14" ref="S8"/>
    <hyperlink r:id="rId15" ref="L9"/>
    <hyperlink r:id="rId16" ref="S9"/>
    <hyperlink r:id="rId17" ref="L10"/>
    <hyperlink r:id="rId18" ref="S10"/>
    <hyperlink r:id="rId19" ref="L11"/>
    <hyperlink r:id="rId20" ref="S11"/>
    <hyperlink r:id="rId21" ref="L12"/>
    <hyperlink r:id="rId22" ref="S12"/>
    <hyperlink r:id="rId23" ref="L13"/>
    <hyperlink r:id="rId24" ref="S13"/>
    <hyperlink r:id="rId25" ref="L14"/>
    <hyperlink r:id="rId26" ref="S14"/>
    <hyperlink r:id="rId27" ref="L15"/>
    <hyperlink r:id="rId28" ref="S15"/>
    <hyperlink r:id="rId29" ref="L16"/>
    <hyperlink r:id="rId30" ref="L17"/>
    <hyperlink r:id="rId31" ref="S17"/>
    <hyperlink r:id="rId32" ref="L18"/>
    <hyperlink r:id="rId33" ref="S18"/>
    <hyperlink r:id="rId34" ref="L19"/>
    <hyperlink r:id="rId35" ref="S19"/>
    <hyperlink r:id="rId36" ref="L20"/>
    <hyperlink r:id="rId37" ref="S20"/>
    <hyperlink r:id="rId38" ref="L21"/>
    <hyperlink r:id="rId39" ref="S21"/>
    <hyperlink r:id="rId40" ref="L22"/>
    <hyperlink r:id="rId41" ref="S22"/>
    <hyperlink r:id="rId42" ref="L23"/>
    <hyperlink r:id="rId43" ref="S23"/>
    <hyperlink r:id="rId44" ref="L24"/>
    <hyperlink r:id="rId45" ref="S24"/>
    <hyperlink r:id="rId46" ref="L25"/>
    <hyperlink r:id="rId47" ref="S25"/>
    <hyperlink r:id="rId48" ref="L26"/>
    <hyperlink r:id="rId49" ref="S26"/>
    <hyperlink r:id="rId50" ref="L27"/>
    <hyperlink r:id="rId51" ref="S27"/>
    <hyperlink r:id="rId52" ref="L28"/>
    <hyperlink r:id="rId53" ref="S28"/>
    <hyperlink r:id="rId54" ref="L29"/>
    <hyperlink r:id="rId55" ref="S29"/>
    <hyperlink r:id="rId56" ref="L30"/>
    <hyperlink r:id="rId57" ref="S30"/>
    <hyperlink r:id="rId58" ref="L31"/>
    <hyperlink r:id="rId59" ref="S31"/>
    <hyperlink r:id="rId60" ref="L32"/>
    <hyperlink r:id="rId61" ref="S32"/>
    <hyperlink r:id="rId62" ref="L33"/>
    <hyperlink r:id="rId63" ref="S33"/>
    <hyperlink r:id="rId64" ref="L34"/>
    <hyperlink r:id="rId65" ref="S34"/>
    <hyperlink r:id="rId66" ref="L35"/>
    <hyperlink r:id="rId67" ref="S35"/>
    <hyperlink r:id="rId68" ref="L36"/>
    <hyperlink r:id="rId69" ref="S36"/>
    <hyperlink r:id="rId70" ref="L37"/>
    <hyperlink r:id="rId71" ref="S37"/>
    <hyperlink r:id="rId72" ref="L38"/>
    <hyperlink r:id="rId73" ref="L39"/>
    <hyperlink r:id="rId74" ref="S39"/>
    <hyperlink r:id="rId75" ref="L40"/>
    <hyperlink r:id="rId76" ref="S40"/>
    <hyperlink r:id="rId77" ref="S42"/>
  </hyperlinks>
  <printOptions gridLines="1" horizontalCentered="1"/>
  <pageMargins bottom="0.75" footer="0.0" header="0.0" left="0.7" right="0.7" top="0.75"/>
  <pageSetup fitToHeight="0" paperSize="9" cellComments="atEnd" orientation="portrait" pageOrder="overThenDown"/>
  <drawing r:id="rId7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
    <col customWidth="1" min="10" max="10" width="20.0"/>
  </cols>
  <sheetData>
    <row r="1" ht="33.75" customHeight="1">
      <c r="A1" s="10" t="s">
        <v>18</v>
      </c>
      <c r="B1" s="10" t="s">
        <v>23</v>
      </c>
      <c r="C1" s="10" t="s">
        <v>25</v>
      </c>
      <c r="D1" s="10" t="s">
        <v>27</v>
      </c>
      <c r="E1" s="10" t="s">
        <v>29</v>
      </c>
      <c r="F1" s="10" t="s">
        <v>30</v>
      </c>
      <c r="G1" s="10" t="s">
        <v>32</v>
      </c>
      <c r="H1" s="10" t="s">
        <v>34</v>
      </c>
      <c r="I1" s="10" t="s">
        <v>35</v>
      </c>
      <c r="J1" s="10" t="s">
        <v>36</v>
      </c>
      <c r="K1" s="10" t="s">
        <v>37</v>
      </c>
      <c r="L1" s="10" t="s">
        <v>38</v>
      </c>
      <c r="M1" s="10" t="s">
        <v>45</v>
      </c>
      <c r="N1" s="10" t="s">
        <v>46</v>
      </c>
      <c r="O1" s="10" t="s">
        <v>47</v>
      </c>
      <c r="P1" s="10" t="s">
        <v>48</v>
      </c>
      <c r="Q1" s="10" t="s">
        <v>49</v>
      </c>
      <c r="R1" s="10" t="s">
        <v>50</v>
      </c>
      <c r="S1" s="10" t="s">
        <v>51</v>
      </c>
      <c r="T1" s="10" t="s">
        <v>52</v>
      </c>
      <c r="U1" s="10" t="s">
        <v>53</v>
      </c>
      <c r="V1" s="10" t="s">
        <v>54</v>
      </c>
      <c r="W1" s="10" t="s">
        <v>55</v>
      </c>
    </row>
    <row r="2" ht="33.75" customHeight="1">
      <c r="A2" s="24">
        <v>46261.28312627315</v>
      </c>
      <c r="B2" s="26" t="s">
        <v>57</v>
      </c>
      <c r="C2" s="26" t="s">
        <v>62</v>
      </c>
      <c r="D2" s="26" t="s">
        <v>39</v>
      </c>
      <c r="E2" s="26" t="s">
        <v>64</v>
      </c>
      <c r="F2" s="37" t="s">
        <v>65</v>
      </c>
      <c r="G2" s="26" t="s">
        <v>77</v>
      </c>
      <c r="H2" s="26" t="s">
        <v>57</v>
      </c>
      <c r="I2" s="26" t="s">
        <v>80</v>
      </c>
      <c r="J2" s="37" t="s">
        <v>81</v>
      </c>
      <c r="K2" s="26" t="s">
        <v>94</v>
      </c>
      <c r="L2" s="37" t="s">
        <v>95</v>
      </c>
      <c r="M2" s="26" t="s">
        <v>104</v>
      </c>
      <c r="N2" s="26" t="s">
        <v>107</v>
      </c>
      <c r="O2" s="26" t="s">
        <v>111</v>
      </c>
      <c r="P2" s="26" t="s">
        <v>113</v>
      </c>
      <c r="Q2" s="26" t="s">
        <v>116</v>
      </c>
      <c r="R2" s="26" t="s">
        <v>118</v>
      </c>
      <c r="S2" s="26" t="s">
        <v>120</v>
      </c>
      <c r="T2" s="26" t="s">
        <v>123</v>
      </c>
      <c r="U2" s="26" t="s">
        <v>126</v>
      </c>
      <c r="V2" s="26" t="s">
        <v>127</v>
      </c>
      <c r="W2" s="54" t="s">
        <v>129</v>
      </c>
    </row>
    <row r="3" ht="33.75" customHeight="1">
      <c r="A3" s="56">
        <v>46261.49033340278</v>
      </c>
      <c r="B3" s="57" t="s">
        <v>144</v>
      </c>
      <c r="C3" s="57" t="s">
        <v>62</v>
      </c>
      <c r="D3" s="57" t="s">
        <v>146</v>
      </c>
      <c r="E3" s="57" t="s">
        <v>147</v>
      </c>
      <c r="F3" s="60" t="s">
        <v>149</v>
      </c>
      <c r="G3" s="57" t="s">
        <v>128</v>
      </c>
      <c r="H3" s="57" t="s">
        <v>144</v>
      </c>
      <c r="I3" s="57" t="s">
        <v>155</v>
      </c>
      <c r="J3" s="60" t="s">
        <v>175</v>
      </c>
      <c r="K3" s="57" t="s">
        <v>181</v>
      </c>
      <c r="L3" s="60" t="s">
        <v>182</v>
      </c>
      <c r="M3" s="57" t="s">
        <v>200</v>
      </c>
      <c r="N3" s="57" t="s">
        <v>202</v>
      </c>
      <c r="O3" s="57" t="s">
        <v>203</v>
      </c>
      <c r="P3" s="57" t="s">
        <v>204</v>
      </c>
      <c r="Q3" s="57" t="s">
        <v>206</v>
      </c>
      <c r="R3" s="57" t="s">
        <v>122</v>
      </c>
      <c r="S3" s="57" t="s">
        <v>209</v>
      </c>
      <c r="T3" s="57" t="s">
        <v>211</v>
      </c>
      <c r="U3" s="57" t="s">
        <v>213</v>
      </c>
      <c r="V3" s="57" t="s">
        <v>214</v>
      </c>
      <c r="W3" s="69" t="s">
        <v>216</v>
      </c>
    </row>
    <row r="4" ht="33.75" customHeight="1">
      <c r="A4" s="24">
        <v>46265.59692319445</v>
      </c>
      <c r="B4" s="26" t="s">
        <v>226</v>
      </c>
      <c r="C4" s="26" t="s">
        <v>62</v>
      </c>
      <c r="D4" s="26" t="s">
        <v>227</v>
      </c>
      <c r="E4" s="26" t="s">
        <v>229</v>
      </c>
      <c r="F4" s="37" t="s">
        <v>230</v>
      </c>
      <c r="G4" s="26" t="s">
        <v>247</v>
      </c>
      <c r="H4" s="26" t="s">
        <v>226</v>
      </c>
      <c r="I4" s="26" t="s">
        <v>250</v>
      </c>
      <c r="J4" s="37" t="s">
        <v>251</v>
      </c>
      <c r="K4" s="26" t="s">
        <v>261</v>
      </c>
      <c r="L4" s="37" t="s">
        <v>262</v>
      </c>
      <c r="M4" s="26" t="s">
        <v>269</v>
      </c>
      <c r="N4" s="26" t="s">
        <v>271</v>
      </c>
      <c r="O4" s="26" t="s">
        <v>111</v>
      </c>
      <c r="P4" s="26" t="s">
        <v>204</v>
      </c>
      <c r="Q4" s="26" t="s">
        <v>116</v>
      </c>
      <c r="R4" s="26" t="s">
        <v>273</v>
      </c>
      <c r="S4" s="26" t="s">
        <v>274</v>
      </c>
      <c r="T4" s="26" t="s">
        <v>277</v>
      </c>
      <c r="U4" s="26" t="s">
        <v>280</v>
      </c>
      <c r="V4" s="26" t="s">
        <v>269</v>
      </c>
      <c r="W4" s="54" t="s">
        <v>281</v>
      </c>
    </row>
    <row r="5" ht="33.75" customHeight="1">
      <c r="A5" s="56">
        <v>46267.15626467593</v>
      </c>
      <c r="B5" s="57" t="s">
        <v>293</v>
      </c>
      <c r="C5" s="57" t="s">
        <v>62</v>
      </c>
      <c r="D5" s="57" t="s">
        <v>161</v>
      </c>
      <c r="E5" s="57" t="s">
        <v>295</v>
      </c>
      <c r="F5" s="57" t="s">
        <v>296</v>
      </c>
      <c r="G5" s="57" t="s">
        <v>171</v>
      </c>
      <c r="H5" s="57" t="s">
        <v>293</v>
      </c>
      <c r="I5" s="57" t="s">
        <v>193</v>
      </c>
      <c r="J5" s="60" t="s">
        <v>300</v>
      </c>
      <c r="K5" s="57" t="s">
        <v>303</v>
      </c>
      <c r="L5" s="60" t="s">
        <v>305</v>
      </c>
      <c r="M5" s="57" t="s">
        <v>314</v>
      </c>
      <c r="N5" s="57" t="s">
        <v>315</v>
      </c>
      <c r="O5" s="57" t="s">
        <v>111</v>
      </c>
      <c r="P5" s="57" t="s">
        <v>113</v>
      </c>
      <c r="Q5" s="57" t="s">
        <v>316</v>
      </c>
      <c r="R5" s="57" t="s">
        <v>166</v>
      </c>
      <c r="S5" s="57" t="s">
        <v>319</v>
      </c>
      <c r="T5" s="57" t="s">
        <v>321</v>
      </c>
      <c r="U5" s="57" t="s">
        <v>322</v>
      </c>
      <c r="V5" s="57" t="s">
        <v>269</v>
      </c>
      <c r="W5" s="69" t="s">
        <v>323</v>
      </c>
    </row>
    <row r="6" ht="33.75" customHeight="1">
      <c r="A6" s="24">
        <v>46267.96814671296</v>
      </c>
      <c r="B6" s="26" t="s">
        <v>328</v>
      </c>
      <c r="C6" s="26" t="s">
        <v>62</v>
      </c>
      <c r="D6" s="26" t="s">
        <v>196</v>
      </c>
      <c r="E6" s="26" t="s">
        <v>330</v>
      </c>
      <c r="F6" s="95"/>
      <c r="G6" s="26" t="s">
        <v>212</v>
      </c>
      <c r="H6" s="26" t="s">
        <v>331</v>
      </c>
      <c r="I6" s="26" t="s">
        <v>237</v>
      </c>
      <c r="J6" s="37" t="s">
        <v>337</v>
      </c>
      <c r="K6" s="26" t="s">
        <v>350</v>
      </c>
      <c r="L6" s="37" t="s">
        <v>351</v>
      </c>
      <c r="M6" s="26" t="s">
        <v>362</v>
      </c>
      <c r="N6" s="26" t="s">
        <v>364</v>
      </c>
      <c r="O6" s="26" t="s">
        <v>111</v>
      </c>
      <c r="P6" s="26" t="s">
        <v>113</v>
      </c>
      <c r="Q6" s="26" t="s">
        <v>206</v>
      </c>
      <c r="R6" s="26" t="s">
        <v>208</v>
      </c>
      <c r="S6" s="26" t="s">
        <v>368</v>
      </c>
      <c r="T6" s="26" t="s">
        <v>371</v>
      </c>
      <c r="U6" s="26" t="s">
        <v>373</v>
      </c>
      <c r="V6" s="26" t="s">
        <v>375</v>
      </c>
      <c r="W6" s="54" t="s">
        <v>376</v>
      </c>
    </row>
    <row r="7" ht="33.75" customHeight="1">
      <c r="A7" s="56">
        <v>46269.651116168985</v>
      </c>
      <c r="B7" s="57" t="s">
        <v>389</v>
      </c>
      <c r="C7" s="57" t="s">
        <v>62</v>
      </c>
      <c r="D7" s="57" t="s">
        <v>241</v>
      </c>
      <c r="E7" s="57" t="s">
        <v>390</v>
      </c>
      <c r="F7" s="60" t="s">
        <v>392</v>
      </c>
      <c r="G7" s="106">
        <v>5.25554562629E11</v>
      </c>
      <c r="H7" s="57" t="s">
        <v>400</v>
      </c>
      <c r="I7" s="57" t="s">
        <v>272</v>
      </c>
      <c r="J7" s="60" t="s">
        <v>405</v>
      </c>
      <c r="K7" s="57" t="s">
        <v>414</v>
      </c>
      <c r="L7" s="60" t="s">
        <v>415</v>
      </c>
      <c r="M7" s="57" t="s">
        <v>418</v>
      </c>
      <c r="N7" s="57" t="s">
        <v>419</v>
      </c>
      <c r="O7" s="57" t="s">
        <v>111</v>
      </c>
      <c r="P7" s="57" t="s">
        <v>204</v>
      </c>
      <c r="Q7" s="57" t="s">
        <v>224</v>
      </c>
      <c r="R7" s="57" t="s">
        <v>420</v>
      </c>
      <c r="S7" s="57" t="s">
        <v>421</v>
      </c>
      <c r="T7" s="57" t="s">
        <v>422</v>
      </c>
      <c r="U7" s="57" t="s">
        <v>423</v>
      </c>
      <c r="V7" s="107"/>
      <c r="W7" s="69" t="s">
        <v>427</v>
      </c>
    </row>
    <row r="8" ht="33.75" customHeight="1">
      <c r="A8" s="24">
        <v>46269.67445506944</v>
      </c>
      <c r="B8" s="26" t="s">
        <v>434</v>
      </c>
      <c r="C8" s="26" t="s">
        <v>62</v>
      </c>
      <c r="D8" s="26" t="s">
        <v>278</v>
      </c>
      <c r="E8" s="26" t="s">
        <v>436</v>
      </c>
      <c r="F8" s="37" t="s">
        <v>437</v>
      </c>
      <c r="G8" s="26" t="s">
        <v>445</v>
      </c>
      <c r="H8" s="26" t="s">
        <v>434</v>
      </c>
      <c r="I8" s="26" t="s">
        <v>304</v>
      </c>
      <c r="J8" s="37" t="s">
        <v>448</v>
      </c>
      <c r="K8" s="26" t="s">
        <v>464</v>
      </c>
      <c r="L8" s="37" t="s">
        <v>467</v>
      </c>
      <c r="M8" s="26" t="s">
        <v>475</v>
      </c>
      <c r="N8" s="26" t="s">
        <v>478</v>
      </c>
      <c r="O8" s="26" t="s">
        <v>203</v>
      </c>
      <c r="P8" s="26" t="s">
        <v>307</v>
      </c>
      <c r="Q8" s="26" t="s">
        <v>116</v>
      </c>
      <c r="R8" s="26" t="s">
        <v>285</v>
      </c>
      <c r="S8" s="26" t="s">
        <v>479</v>
      </c>
      <c r="T8" s="26" t="s">
        <v>481</v>
      </c>
      <c r="U8" s="26" t="s">
        <v>483</v>
      </c>
      <c r="V8" s="26" t="s">
        <v>485</v>
      </c>
      <c r="W8" s="54" t="s">
        <v>486</v>
      </c>
    </row>
    <row r="9" ht="33.75" customHeight="1">
      <c r="A9" s="56">
        <v>46269.69255136574</v>
      </c>
      <c r="B9" s="57" t="s">
        <v>489</v>
      </c>
      <c r="C9" s="57" t="s">
        <v>62</v>
      </c>
      <c r="D9" s="57" t="s">
        <v>309</v>
      </c>
      <c r="E9" s="57" t="s">
        <v>490</v>
      </c>
      <c r="F9" s="60" t="s">
        <v>491</v>
      </c>
      <c r="G9" s="57" t="s">
        <v>317</v>
      </c>
      <c r="H9" s="57" t="s">
        <v>489</v>
      </c>
      <c r="I9" s="57" t="s">
        <v>332</v>
      </c>
      <c r="J9" s="60" t="s">
        <v>495</v>
      </c>
      <c r="K9" s="57" t="s">
        <v>497</v>
      </c>
      <c r="L9" s="60" t="s">
        <v>498</v>
      </c>
      <c r="M9" s="57" t="s">
        <v>501</v>
      </c>
      <c r="N9" s="57" t="s">
        <v>503</v>
      </c>
      <c r="O9" s="57" t="s">
        <v>111</v>
      </c>
      <c r="P9" s="57" t="s">
        <v>307</v>
      </c>
      <c r="Q9" s="57" t="s">
        <v>116</v>
      </c>
      <c r="R9" s="57" t="s">
        <v>311</v>
      </c>
      <c r="S9" s="57" t="s">
        <v>507</v>
      </c>
      <c r="T9" s="57" t="s">
        <v>512</v>
      </c>
      <c r="U9" s="57" t="s">
        <v>515</v>
      </c>
      <c r="V9" s="57" t="s">
        <v>516</v>
      </c>
      <c r="W9" s="69" t="s">
        <v>517</v>
      </c>
    </row>
    <row r="10" ht="33.75" customHeight="1">
      <c r="A10" s="24">
        <v>46269.77809114583</v>
      </c>
      <c r="B10" s="26" t="s">
        <v>528</v>
      </c>
      <c r="C10" s="26" t="s">
        <v>62</v>
      </c>
      <c r="D10" s="26" t="s">
        <v>530</v>
      </c>
      <c r="E10" s="26" t="s">
        <v>531</v>
      </c>
      <c r="F10" s="37" t="s">
        <v>532</v>
      </c>
      <c r="G10" s="26" t="s">
        <v>344</v>
      </c>
      <c r="H10" s="26" t="s">
        <v>528</v>
      </c>
      <c r="I10" s="26" t="s">
        <v>367</v>
      </c>
      <c r="J10" s="37" t="s">
        <v>540</v>
      </c>
      <c r="K10" s="26" t="s">
        <v>546</v>
      </c>
      <c r="L10" s="37" t="s">
        <v>547</v>
      </c>
      <c r="M10" s="26" t="s">
        <v>548</v>
      </c>
      <c r="N10" s="26" t="s">
        <v>549</v>
      </c>
      <c r="O10" s="26" t="s">
        <v>111</v>
      </c>
      <c r="P10" s="26" t="s">
        <v>204</v>
      </c>
      <c r="Q10" s="26" t="s">
        <v>206</v>
      </c>
      <c r="R10" s="26" t="s">
        <v>340</v>
      </c>
      <c r="S10" s="26" t="s">
        <v>550</v>
      </c>
      <c r="T10" s="26" t="s">
        <v>551</v>
      </c>
      <c r="U10" s="26" t="s">
        <v>552</v>
      </c>
      <c r="V10" s="95"/>
      <c r="W10" s="54" t="s">
        <v>553</v>
      </c>
    </row>
    <row r="11" ht="33.75" customHeight="1">
      <c r="A11" s="56">
        <v>46270.961079733795</v>
      </c>
      <c r="B11" s="57" t="s">
        <v>556</v>
      </c>
      <c r="C11" s="57" t="s">
        <v>62</v>
      </c>
      <c r="D11" s="57" t="s">
        <v>557</v>
      </c>
      <c r="E11" s="57" t="s">
        <v>558</v>
      </c>
      <c r="F11" s="107"/>
      <c r="G11" s="57" t="s">
        <v>559</v>
      </c>
      <c r="H11" s="57" t="s">
        <v>556</v>
      </c>
      <c r="I11" s="57" t="s">
        <v>561</v>
      </c>
      <c r="J11" s="60" t="s">
        <v>562</v>
      </c>
      <c r="K11" s="57" t="s">
        <v>303</v>
      </c>
      <c r="L11" s="60" t="s">
        <v>569</v>
      </c>
      <c r="M11" s="57" t="s">
        <v>578</v>
      </c>
      <c r="N11" s="57" t="s">
        <v>579</v>
      </c>
      <c r="O11" s="57" t="s">
        <v>203</v>
      </c>
      <c r="P11" s="57" t="s">
        <v>204</v>
      </c>
      <c r="Q11" s="57" t="s">
        <v>316</v>
      </c>
      <c r="R11" s="57" t="s">
        <v>580</v>
      </c>
      <c r="S11" s="57" t="s">
        <v>581</v>
      </c>
      <c r="T11" s="57" t="s">
        <v>583</v>
      </c>
      <c r="U11" s="57" t="s">
        <v>584</v>
      </c>
      <c r="V11" s="57" t="s">
        <v>586</v>
      </c>
      <c r="W11" s="69" t="s">
        <v>588</v>
      </c>
    </row>
    <row r="12" ht="33.75" customHeight="1">
      <c r="A12" s="24">
        <v>46273.61156741898</v>
      </c>
      <c r="B12" s="26" t="s">
        <v>592</v>
      </c>
      <c r="C12" s="26" t="s">
        <v>62</v>
      </c>
      <c r="D12" s="26" t="s">
        <v>372</v>
      </c>
      <c r="E12" s="26" t="s">
        <v>594</v>
      </c>
      <c r="F12" s="37" t="s">
        <v>596</v>
      </c>
      <c r="G12" s="26" t="s">
        <v>382</v>
      </c>
      <c r="H12" s="26" t="s">
        <v>592</v>
      </c>
      <c r="I12" s="26" t="s">
        <v>399</v>
      </c>
      <c r="J12" s="37" t="s">
        <v>607</v>
      </c>
      <c r="K12" s="26" t="s">
        <v>611</v>
      </c>
      <c r="L12" s="37" t="s">
        <v>614</v>
      </c>
      <c r="M12" s="26" t="s">
        <v>621</v>
      </c>
      <c r="N12" s="26" t="s">
        <v>623</v>
      </c>
      <c r="O12" s="26" t="s">
        <v>203</v>
      </c>
      <c r="P12" s="26" t="s">
        <v>113</v>
      </c>
      <c r="Q12" s="26" t="s">
        <v>206</v>
      </c>
      <c r="R12" s="26" t="s">
        <v>378</v>
      </c>
      <c r="S12" s="26" t="s">
        <v>625</v>
      </c>
      <c r="T12" s="26" t="s">
        <v>626</v>
      </c>
      <c r="U12" s="26" t="s">
        <v>627</v>
      </c>
      <c r="V12" s="26" t="s">
        <v>628</v>
      </c>
      <c r="W12" s="54" t="s">
        <v>629</v>
      </c>
    </row>
    <row r="13" ht="33.75" customHeight="1">
      <c r="A13" s="56">
        <v>46273.85269505787</v>
      </c>
      <c r="B13" s="57" t="s">
        <v>631</v>
      </c>
      <c r="C13" s="57" t="s">
        <v>62</v>
      </c>
      <c r="D13" s="57" t="s">
        <v>403</v>
      </c>
      <c r="E13" s="57" t="s">
        <v>632</v>
      </c>
      <c r="F13" s="57" t="s">
        <v>633</v>
      </c>
      <c r="G13" s="57" t="s">
        <v>411</v>
      </c>
      <c r="H13" s="57" t="s">
        <v>631</v>
      </c>
      <c r="I13" s="57" t="s">
        <v>424</v>
      </c>
      <c r="J13" s="60" t="s">
        <v>635</v>
      </c>
      <c r="K13" s="57" t="s">
        <v>637</v>
      </c>
      <c r="L13" s="60" t="s">
        <v>638</v>
      </c>
      <c r="M13" s="57" t="s">
        <v>641</v>
      </c>
      <c r="N13" s="57" t="s">
        <v>642</v>
      </c>
      <c r="O13" s="57" t="s">
        <v>111</v>
      </c>
      <c r="P13" s="57" t="s">
        <v>204</v>
      </c>
      <c r="Q13" s="57" t="s">
        <v>206</v>
      </c>
      <c r="R13" s="57" t="s">
        <v>409</v>
      </c>
      <c r="S13" s="57" t="s">
        <v>643</v>
      </c>
      <c r="T13" s="57" t="s">
        <v>644</v>
      </c>
      <c r="U13" s="57" t="s">
        <v>645</v>
      </c>
      <c r="V13" s="57" t="s">
        <v>646</v>
      </c>
      <c r="W13" s="69" t="s">
        <v>648</v>
      </c>
    </row>
    <row r="14" ht="33.75" customHeight="1">
      <c r="A14" s="24">
        <v>46274.91360461805</v>
      </c>
      <c r="B14" s="26" t="s">
        <v>652</v>
      </c>
      <c r="C14" s="26" t="s">
        <v>62</v>
      </c>
      <c r="D14" s="26" t="s">
        <v>654</v>
      </c>
      <c r="E14" s="26" t="s">
        <v>655</v>
      </c>
      <c r="F14" s="37" t="s">
        <v>657</v>
      </c>
      <c r="G14" s="26" t="s">
        <v>431</v>
      </c>
      <c r="H14" s="26" t="s">
        <v>652</v>
      </c>
      <c r="I14" s="26" t="s">
        <v>439</v>
      </c>
      <c r="J14" s="37" t="s">
        <v>659</v>
      </c>
      <c r="K14" s="26" t="s">
        <v>303</v>
      </c>
      <c r="L14" s="37" t="s">
        <v>666</v>
      </c>
      <c r="M14" s="26" t="s">
        <v>669</v>
      </c>
      <c r="N14" s="26" t="s">
        <v>670</v>
      </c>
      <c r="O14" s="26" t="s">
        <v>111</v>
      </c>
      <c r="P14" s="26" t="s">
        <v>307</v>
      </c>
      <c r="Q14" s="26" t="s">
        <v>116</v>
      </c>
      <c r="R14" s="26" t="s">
        <v>671</v>
      </c>
      <c r="S14" s="26" t="s">
        <v>672</v>
      </c>
      <c r="T14" s="26" t="s">
        <v>673</v>
      </c>
      <c r="U14" s="26" t="s">
        <v>675</v>
      </c>
      <c r="V14" s="26" t="s">
        <v>586</v>
      </c>
      <c r="W14" s="54" t="s">
        <v>677</v>
      </c>
    </row>
    <row r="15" ht="33.75" customHeight="1">
      <c r="A15" s="56">
        <v>46274.9216882176</v>
      </c>
      <c r="B15" s="57" t="s">
        <v>684</v>
      </c>
      <c r="C15" s="57" t="s">
        <v>62</v>
      </c>
      <c r="D15" s="57" t="s">
        <v>443</v>
      </c>
      <c r="E15" s="57" t="s">
        <v>685</v>
      </c>
      <c r="F15" s="57" t="s">
        <v>686</v>
      </c>
      <c r="G15" s="57" t="s">
        <v>687</v>
      </c>
      <c r="H15" s="57" t="s">
        <v>684</v>
      </c>
      <c r="I15" s="57" t="s">
        <v>472</v>
      </c>
      <c r="J15" s="60" t="s">
        <v>694</v>
      </c>
      <c r="K15" s="57" t="s">
        <v>303</v>
      </c>
      <c r="L15" s="60" t="s">
        <v>703</v>
      </c>
      <c r="M15" s="57" t="s">
        <v>707</v>
      </c>
      <c r="N15" s="57" t="s">
        <v>708</v>
      </c>
      <c r="O15" s="57" t="s">
        <v>111</v>
      </c>
      <c r="P15" s="57" t="s">
        <v>113</v>
      </c>
      <c r="Q15" s="57" t="s">
        <v>228</v>
      </c>
      <c r="R15" s="57" t="s">
        <v>450</v>
      </c>
      <c r="S15" s="57" t="s">
        <v>713</v>
      </c>
      <c r="T15" s="57" t="s">
        <v>717</v>
      </c>
      <c r="U15" s="57" t="s">
        <v>720</v>
      </c>
      <c r="V15" s="57" t="s">
        <v>721</v>
      </c>
      <c r="W15" s="69" t="s">
        <v>722</v>
      </c>
    </row>
    <row r="16" ht="33.75" customHeight="1">
      <c r="A16" s="24">
        <v>46274.98958505787</v>
      </c>
      <c r="B16" s="26" t="s">
        <v>730</v>
      </c>
      <c r="C16" s="26" t="s">
        <v>62</v>
      </c>
      <c r="D16" s="26" t="s">
        <v>731</v>
      </c>
      <c r="E16" s="26" t="s">
        <v>732</v>
      </c>
      <c r="F16" s="26" t="s">
        <v>734</v>
      </c>
      <c r="G16" s="26" t="s">
        <v>484</v>
      </c>
      <c r="H16" s="26" t="s">
        <v>730</v>
      </c>
      <c r="I16" s="26" t="s">
        <v>492</v>
      </c>
      <c r="J16" s="37" t="s">
        <v>741</v>
      </c>
      <c r="K16" s="26" t="s">
        <v>303</v>
      </c>
      <c r="L16" s="37" t="s">
        <v>750</v>
      </c>
      <c r="M16" s="26" t="s">
        <v>758</v>
      </c>
      <c r="N16" s="26" t="s">
        <v>760</v>
      </c>
      <c r="O16" s="26" t="s">
        <v>111</v>
      </c>
      <c r="P16" s="26" t="s">
        <v>204</v>
      </c>
      <c r="Q16" s="26" t="s">
        <v>206</v>
      </c>
      <c r="R16" s="26" t="s">
        <v>480</v>
      </c>
      <c r="S16" s="26" t="s">
        <v>763</v>
      </c>
      <c r="T16" s="26" t="s">
        <v>764</v>
      </c>
      <c r="U16" s="26" t="s">
        <v>767</v>
      </c>
      <c r="V16" s="26" t="s">
        <v>768</v>
      </c>
      <c r="W16" s="54" t="s">
        <v>769</v>
      </c>
    </row>
    <row r="17" ht="33.75" customHeight="1">
      <c r="A17" s="56">
        <v>46275.020091053244</v>
      </c>
      <c r="B17" s="57" t="s">
        <v>770</v>
      </c>
      <c r="C17" s="57" t="s">
        <v>62</v>
      </c>
      <c r="D17" s="57" t="s">
        <v>771</v>
      </c>
      <c r="E17" s="57" t="s">
        <v>772</v>
      </c>
      <c r="F17" s="57" t="s">
        <v>772</v>
      </c>
      <c r="G17" s="57" t="s">
        <v>773</v>
      </c>
      <c r="H17" s="57" t="s">
        <v>770</v>
      </c>
      <c r="I17" s="57" t="s">
        <v>774</v>
      </c>
      <c r="J17" s="60" t="s">
        <v>775</v>
      </c>
      <c r="K17" s="57" t="s">
        <v>782</v>
      </c>
      <c r="L17" s="60" t="s">
        <v>783</v>
      </c>
      <c r="M17" s="57" t="s">
        <v>785</v>
      </c>
      <c r="N17" s="57" t="s">
        <v>787</v>
      </c>
      <c r="O17" s="57" t="s">
        <v>111</v>
      </c>
      <c r="P17" s="57" t="s">
        <v>204</v>
      </c>
      <c r="Q17" s="57" t="s">
        <v>316</v>
      </c>
      <c r="R17" s="57" t="s">
        <v>790</v>
      </c>
      <c r="S17" s="57" t="s">
        <v>794</v>
      </c>
      <c r="T17" s="57" t="s">
        <v>796</v>
      </c>
      <c r="U17" s="57" t="s">
        <v>797</v>
      </c>
      <c r="V17" s="57" t="s">
        <v>798</v>
      </c>
      <c r="W17" s="69" t="s">
        <v>800</v>
      </c>
    </row>
    <row r="18" ht="33.75" customHeight="1">
      <c r="A18" s="24">
        <v>46275.34359738426</v>
      </c>
      <c r="B18" s="26" t="s">
        <v>803</v>
      </c>
      <c r="C18" s="26" t="s">
        <v>62</v>
      </c>
      <c r="D18" s="26" t="s">
        <v>805</v>
      </c>
      <c r="E18" s="26" t="s">
        <v>807</v>
      </c>
      <c r="F18" s="95"/>
      <c r="G18" s="26" t="s">
        <v>441</v>
      </c>
      <c r="H18" s="26" t="s">
        <v>803</v>
      </c>
      <c r="I18" s="26" t="s">
        <v>452</v>
      </c>
      <c r="J18" s="37" t="s">
        <v>811</v>
      </c>
      <c r="K18" s="26" t="s">
        <v>815</v>
      </c>
      <c r="L18" s="37" t="s">
        <v>817</v>
      </c>
      <c r="M18" s="26" t="s">
        <v>822</v>
      </c>
      <c r="N18" s="26" t="s">
        <v>824</v>
      </c>
      <c r="O18" s="26" t="s">
        <v>111</v>
      </c>
      <c r="P18" s="26" t="s">
        <v>307</v>
      </c>
      <c r="Q18" s="26" t="s">
        <v>224</v>
      </c>
      <c r="R18" s="26" t="s">
        <v>826</v>
      </c>
      <c r="S18" s="26" t="s">
        <v>827</v>
      </c>
      <c r="T18" s="26" t="s">
        <v>828</v>
      </c>
      <c r="U18" s="26" t="s">
        <v>830</v>
      </c>
      <c r="V18" s="26" t="s">
        <v>831</v>
      </c>
      <c r="W18" s="54" t="s">
        <v>832</v>
      </c>
    </row>
    <row r="19" ht="33.75" customHeight="1">
      <c r="A19" s="56">
        <v>46275.67444425926</v>
      </c>
      <c r="B19" s="57" t="s">
        <v>840</v>
      </c>
      <c r="C19" s="57" t="s">
        <v>62</v>
      </c>
      <c r="D19" s="57" t="s">
        <v>841</v>
      </c>
      <c r="E19" s="57" t="s">
        <v>842</v>
      </c>
      <c r="F19" s="60" t="s">
        <v>843</v>
      </c>
      <c r="G19" s="57" t="s">
        <v>459</v>
      </c>
      <c r="H19" s="57" t="s">
        <v>853</v>
      </c>
      <c r="I19" s="57" t="s">
        <v>463</v>
      </c>
      <c r="J19" s="57" t="s">
        <v>519</v>
      </c>
      <c r="K19" s="57" t="s">
        <v>855</v>
      </c>
      <c r="L19" s="60" t="s">
        <v>856</v>
      </c>
      <c r="M19" s="57" t="s">
        <v>861</v>
      </c>
      <c r="N19" s="57" t="s">
        <v>862</v>
      </c>
      <c r="O19" s="57" t="s">
        <v>111</v>
      </c>
      <c r="P19" s="57" t="s">
        <v>113</v>
      </c>
      <c r="Q19" s="57" t="s">
        <v>206</v>
      </c>
      <c r="R19" s="57" t="s">
        <v>863</v>
      </c>
      <c r="S19" s="57" t="s">
        <v>865</v>
      </c>
      <c r="T19" s="57" t="s">
        <v>866</v>
      </c>
      <c r="U19" s="57" t="s">
        <v>867</v>
      </c>
      <c r="V19" s="57" t="s">
        <v>868</v>
      </c>
      <c r="W19" s="69" t="s">
        <v>869</v>
      </c>
    </row>
    <row r="20" ht="33.75" customHeight="1">
      <c r="A20" s="24">
        <v>46275.70788967593</v>
      </c>
      <c r="B20" s="26" t="s">
        <v>872</v>
      </c>
      <c r="C20" s="26" t="s">
        <v>62</v>
      </c>
      <c r="D20" s="26" t="s">
        <v>471</v>
      </c>
      <c r="E20" s="26" t="s">
        <v>873</v>
      </c>
      <c r="F20" s="37" t="s">
        <v>874</v>
      </c>
      <c r="G20" s="26" t="s">
        <v>474</v>
      </c>
      <c r="H20" s="26" t="s">
        <v>872</v>
      </c>
      <c r="I20" s="26" t="s">
        <v>502</v>
      </c>
      <c r="J20" s="37" t="s">
        <v>876</v>
      </c>
      <c r="K20" s="26" t="s">
        <v>878</v>
      </c>
      <c r="L20" s="37" t="s">
        <v>879</v>
      </c>
      <c r="M20" s="26" t="s">
        <v>880</v>
      </c>
      <c r="N20" s="26" t="s">
        <v>881</v>
      </c>
      <c r="O20" s="26" t="s">
        <v>111</v>
      </c>
      <c r="P20" s="26" t="s">
        <v>204</v>
      </c>
      <c r="Q20" s="26" t="s">
        <v>116</v>
      </c>
      <c r="R20" s="26" t="s">
        <v>504</v>
      </c>
      <c r="S20" s="26" t="s">
        <v>882</v>
      </c>
      <c r="T20" s="26" t="s">
        <v>883</v>
      </c>
      <c r="U20" s="26" t="s">
        <v>884</v>
      </c>
      <c r="V20" s="26" t="s">
        <v>586</v>
      </c>
      <c r="W20" s="54" t="s">
        <v>885</v>
      </c>
    </row>
    <row r="21" ht="33.75" customHeight="1">
      <c r="A21" s="56">
        <v>46275.83786296296</v>
      </c>
      <c r="B21" s="57" t="s">
        <v>887</v>
      </c>
      <c r="C21" s="57" t="s">
        <v>62</v>
      </c>
      <c r="D21" s="57" t="s">
        <v>395</v>
      </c>
      <c r="E21" s="57" t="s">
        <v>888</v>
      </c>
      <c r="F21" s="57" t="s">
        <v>889</v>
      </c>
      <c r="G21" s="57" t="s">
        <v>397</v>
      </c>
      <c r="H21" s="57" t="s">
        <v>890</v>
      </c>
      <c r="I21" s="57" t="s">
        <v>406</v>
      </c>
      <c r="J21" s="60" t="s">
        <v>891</v>
      </c>
      <c r="K21" s="57" t="s">
        <v>893</v>
      </c>
      <c r="L21" s="60" t="s">
        <v>894</v>
      </c>
      <c r="M21" s="57" t="s">
        <v>896</v>
      </c>
      <c r="N21" s="57" t="s">
        <v>897</v>
      </c>
      <c r="O21" s="57" t="s">
        <v>111</v>
      </c>
      <c r="P21" s="57" t="s">
        <v>307</v>
      </c>
      <c r="Q21" s="57" t="s">
        <v>224</v>
      </c>
      <c r="R21" s="57" t="s">
        <v>407</v>
      </c>
      <c r="S21" s="57" t="s">
        <v>899</v>
      </c>
      <c r="T21" s="57" t="s">
        <v>900</v>
      </c>
      <c r="U21" s="57" t="s">
        <v>901</v>
      </c>
      <c r="V21" s="57" t="s">
        <v>269</v>
      </c>
      <c r="W21" s="69" t="s">
        <v>902</v>
      </c>
    </row>
    <row r="22" ht="33.75" customHeight="1">
      <c r="A22" s="24">
        <v>46275.94987671296</v>
      </c>
      <c r="B22" s="26" t="s">
        <v>903</v>
      </c>
      <c r="C22" s="26" t="s">
        <v>62</v>
      </c>
      <c r="D22" s="26" t="s">
        <v>508</v>
      </c>
      <c r="E22" s="26" t="s">
        <v>904</v>
      </c>
      <c r="F22" s="26" t="s">
        <v>905</v>
      </c>
      <c r="G22" s="26" t="s">
        <v>513</v>
      </c>
      <c r="H22" s="26" t="s">
        <v>903</v>
      </c>
      <c r="I22" s="26" t="s">
        <v>520</v>
      </c>
      <c r="J22" s="37" t="s">
        <v>906</v>
      </c>
      <c r="K22" s="26" t="s">
        <v>907</v>
      </c>
      <c r="L22" s="37" t="s">
        <v>908</v>
      </c>
      <c r="M22" s="26" t="s">
        <v>911</v>
      </c>
      <c r="N22" s="26" t="s">
        <v>912</v>
      </c>
      <c r="O22" s="26" t="s">
        <v>203</v>
      </c>
      <c r="P22" s="26" t="s">
        <v>204</v>
      </c>
      <c r="Q22" s="26" t="s">
        <v>206</v>
      </c>
      <c r="R22" s="26" t="s">
        <v>522</v>
      </c>
      <c r="S22" s="26" t="s">
        <v>913</v>
      </c>
      <c r="T22" s="26" t="s">
        <v>914</v>
      </c>
      <c r="U22" s="26" t="s">
        <v>915</v>
      </c>
      <c r="V22" s="26" t="s">
        <v>269</v>
      </c>
      <c r="W22" s="54" t="s">
        <v>916</v>
      </c>
    </row>
    <row r="23" ht="33.75" customHeight="1">
      <c r="A23" s="56">
        <v>46276.04108203704</v>
      </c>
      <c r="B23" s="57" t="s">
        <v>917</v>
      </c>
      <c r="C23" s="57" t="s">
        <v>62</v>
      </c>
      <c r="D23" s="57" t="s">
        <v>918</v>
      </c>
      <c r="E23" s="57" t="s">
        <v>919</v>
      </c>
      <c r="F23" s="57" t="s">
        <v>920</v>
      </c>
      <c r="G23" s="57" t="s">
        <v>838</v>
      </c>
      <c r="H23" s="57" t="s">
        <v>917</v>
      </c>
      <c r="I23" s="57" t="s">
        <v>845</v>
      </c>
      <c r="J23" s="60" t="s">
        <v>921</v>
      </c>
      <c r="K23" s="57" t="s">
        <v>923</v>
      </c>
      <c r="L23" s="60" t="s">
        <v>924</v>
      </c>
      <c r="M23" s="57" t="s">
        <v>926</v>
      </c>
      <c r="N23" s="57" t="s">
        <v>927</v>
      </c>
      <c r="O23" s="57" t="s">
        <v>111</v>
      </c>
      <c r="P23" s="57" t="s">
        <v>204</v>
      </c>
      <c r="Q23" s="57" t="s">
        <v>316</v>
      </c>
      <c r="R23" s="57" t="s">
        <v>846</v>
      </c>
      <c r="S23" s="57" t="s">
        <v>928</v>
      </c>
      <c r="T23" s="57" t="s">
        <v>929</v>
      </c>
      <c r="U23" s="57" t="s">
        <v>930</v>
      </c>
      <c r="V23" s="57" t="s">
        <v>931</v>
      </c>
      <c r="W23" s="69" t="s">
        <v>932</v>
      </c>
    </row>
    <row r="24" ht="33.75" customHeight="1">
      <c r="A24" s="24">
        <v>46276.50072791667</v>
      </c>
      <c r="B24" s="26" t="s">
        <v>933</v>
      </c>
      <c r="C24" s="26" t="s">
        <v>62</v>
      </c>
      <c r="D24" s="26" t="s">
        <v>934</v>
      </c>
      <c r="E24" s="26" t="s">
        <v>935</v>
      </c>
      <c r="F24" s="37" t="s">
        <v>936</v>
      </c>
      <c r="G24" s="26" t="s">
        <v>937</v>
      </c>
      <c r="H24" s="26" t="s">
        <v>933</v>
      </c>
      <c r="I24" s="26" t="s">
        <v>533</v>
      </c>
      <c r="J24" s="37" t="s">
        <v>938</v>
      </c>
      <c r="K24" s="26" t="s">
        <v>939</v>
      </c>
      <c r="L24" s="37" t="s">
        <v>940</v>
      </c>
      <c r="M24" s="26" t="s">
        <v>941</v>
      </c>
      <c r="N24" s="26" t="s">
        <v>942</v>
      </c>
      <c r="O24" s="26" t="s">
        <v>111</v>
      </c>
      <c r="P24" s="26" t="s">
        <v>113</v>
      </c>
      <c r="Q24" s="26" t="s">
        <v>206</v>
      </c>
      <c r="R24" s="26" t="s">
        <v>534</v>
      </c>
      <c r="S24" s="26" t="s">
        <v>943</v>
      </c>
      <c r="T24" s="26" t="s">
        <v>944</v>
      </c>
      <c r="U24" s="26" t="s">
        <v>945</v>
      </c>
      <c r="V24" s="26" t="s">
        <v>946</v>
      </c>
      <c r="W24" s="54" t="s">
        <v>947</v>
      </c>
    </row>
    <row r="25" ht="33.75" customHeight="1">
      <c r="A25" s="56">
        <v>46277.78038070602</v>
      </c>
      <c r="B25" s="57" t="s">
        <v>948</v>
      </c>
      <c r="C25" s="57" t="s">
        <v>62</v>
      </c>
      <c r="D25" s="57" t="s">
        <v>660</v>
      </c>
      <c r="E25" s="57" t="s">
        <v>949</v>
      </c>
      <c r="F25" s="60" t="s">
        <v>950</v>
      </c>
      <c r="G25" s="57" t="s">
        <v>664</v>
      </c>
      <c r="H25" s="57" t="s">
        <v>948</v>
      </c>
      <c r="I25" s="57" t="s">
        <v>674</v>
      </c>
      <c r="J25" s="60" t="s">
        <v>951</v>
      </c>
      <c r="K25" s="57" t="s">
        <v>952</v>
      </c>
      <c r="L25" s="60" t="s">
        <v>953</v>
      </c>
      <c r="M25" s="57" t="s">
        <v>954</v>
      </c>
      <c r="N25" s="57" t="s">
        <v>955</v>
      </c>
      <c r="O25" s="57" t="s">
        <v>111</v>
      </c>
      <c r="P25" s="57" t="s">
        <v>113</v>
      </c>
      <c r="Q25" s="57" t="s">
        <v>316</v>
      </c>
      <c r="R25" s="57" t="s">
        <v>662</v>
      </c>
      <c r="S25" s="57" t="s">
        <v>956</v>
      </c>
      <c r="T25" s="57" t="s">
        <v>957</v>
      </c>
      <c r="U25" s="57" t="s">
        <v>958</v>
      </c>
      <c r="V25" s="57" t="s">
        <v>959</v>
      </c>
      <c r="W25" s="69" t="s">
        <v>960</v>
      </c>
    </row>
    <row r="26" ht="33.75" customHeight="1">
      <c r="A26" s="24">
        <v>46278.34384613426</v>
      </c>
      <c r="B26" s="26" t="s">
        <v>961</v>
      </c>
      <c r="C26" s="26" t="s">
        <v>62</v>
      </c>
      <c r="D26" s="26" t="s">
        <v>849</v>
      </c>
      <c r="E26" s="26" t="s">
        <v>962</v>
      </c>
      <c r="F26" s="37" t="s">
        <v>963</v>
      </c>
      <c r="G26" s="26" t="s">
        <v>964</v>
      </c>
      <c r="H26" s="26" t="s">
        <v>961</v>
      </c>
      <c r="I26" s="26" t="s">
        <v>857</v>
      </c>
      <c r="J26" s="37" t="s">
        <v>966</v>
      </c>
      <c r="K26" s="26" t="s">
        <v>967</v>
      </c>
      <c r="L26" s="37" t="s">
        <v>968</v>
      </c>
      <c r="M26" s="26" t="s">
        <v>970</v>
      </c>
      <c r="N26" s="26" t="s">
        <v>971</v>
      </c>
      <c r="O26" s="26" t="s">
        <v>111</v>
      </c>
      <c r="P26" s="26" t="s">
        <v>113</v>
      </c>
      <c r="Q26" s="26" t="s">
        <v>116</v>
      </c>
      <c r="R26" s="26" t="s">
        <v>972</v>
      </c>
      <c r="S26" s="26" t="s">
        <v>973</v>
      </c>
      <c r="T26" s="26" t="s">
        <v>974</v>
      </c>
      <c r="U26" s="26" t="s">
        <v>975</v>
      </c>
      <c r="V26" s="26" t="s">
        <v>976</v>
      </c>
      <c r="W26" s="54" t="s">
        <v>977</v>
      </c>
    </row>
    <row r="27" ht="33.75" customHeight="1">
      <c r="A27" s="56">
        <v>46278.558423194445</v>
      </c>
      <c r="B27" s="57" t="s">
        <v>979</v>
      </c>
      <c r="C27" s="57" t="s">
        <v>62</v>
      </c>
      <c r="D27" s="57" t="s">
        <v>339</v>
      </c>
      <c r="E27" s="57" t="s">
        <v>980</v>
      </c>
      <c r="F27" s="57" t="s">
        <v>981</v>
      </c>
      <c r="G27" s="57" t="s">
        <v>348</v>
      </c>
      <c r="H27" s="57" t="s">
        <v>979</v>
      </c>
      <c r="I27" s="57" t="s">
        <v>356</v>
      </c>
      <c r="J27" s="60" t="s">
        <v>982</v>
      </c>
      <c r="K27" s="57" t="s">
        <v>303</v>
      </c>
      <c r="L27" s="60" t="s">
        <v>985</v>
      </c>
      <c r="M27" s="57" t="s">
        <v>987</v>
      </c>
      <c r="N27" s="57" t="s">
        <v>988</v>
      </c>
      <c r="O27" s="57" t="s">
        <v>111</v>
      </c>
      <c r="P27" s="57" t="s">
        <v>113</v>
      </c>
      <c r="Q27" s="57" t="s">
        <v>224</v>
      </c>
      <c r="R27" s="57" t="s">
        <v>990</v>
      </c>
      <c r="S27" s="57" t="s">
        <v>991</v>
      </c>
      <c r="T27" s="57" t="s">
        <v>992</v>
      </c>
      <c r="U27" s="57" t="s">
        <v>993</v>
      </c>
      <c r="V27" s="107"/>
      <c r="W27" s="69" t="s">
        <v>994</v>
      </c>
    </row>
    <row r="28" ht="33.75" customHeight="1">
      <c r="A28" s="24">
        <v>46289.569492152776</v>
      </c>
      <c r="B28" s="26" t="s">
        <v>995</v>
      </c>
      <c r="C28" s="26" t="s">
        <v>62</v>
      </c>
      <c r="D28" s="26" t="s">
        <v>537</v>
      </c>
      <c r="E28" s="26" t="s">
        <v>997</v>
      </c>
      <c r="F28" s="26" t="s">
        <v>998</v>
      </c>
      <c r="G28" s="26" t="s">
        <v>538</v>
      </c>
      <c r="H28" s="26" t="s">
        <v>995</v>
      </c>
      <c r="I28" s="26" t="s">
        <v>542</v>
      </c>
      <c r="J28" s="37" t="s">
        <v>999</v>
      </c>
      <c r="K28" s="26" t="s">
        <v>1001</v>
      </c>
      <c r="L28" s="37" t="s">
        <v>1002</v>
      </c>
      <c r="M28" s="26" t="s">
        <v>1003</v>
      </c>
      <c r="N28" s="26" t="s">
        <v>1004</v>
      </c>
      <c r="O28" s="26" t="s">
        <v>111</v>
      </c>
      <c r="P28" s="26" t="s">
        <v>113</v>
      </c>
      <c r="Q28" s="26" t="s">
        <v>116</v>
      </c>
      <c r="R28" s="26" t="s">
        <v>1005</v>
      </c>
      <c r="S28" s="26" t="s">
        <v>1006</v>
      </c>
      <c r="T28" s="26" t="s">
        <v>1007</v>
      </c>
      <c r="U28" s="26" t="s">
        <v>1008</v>
      </c>
      <c r="V28" s="26" t="s">
        <v>586</v>
      </c>
      <c r="W28" s="54" t="s">
        <v>1009</v>
      </c>
    </row>
    <row r="29" ht="33.75" customHeight="1">
      <c r="A29" s="56">
        <v>46291.72543784722</v>
      </c>
      <c r="B29" s="57" t="s">
        <v>1010</v>
      </c>
      <c r="C29" s="57" t="s">
        <v>62</v>
      </c>
      <c r="D29" s="57" t="s">
        <v>681</v>
      </c>
      <c r="E29" s="57" t="s">
        <v>1011</v>
      </c>
      <c r="F29" s="107"/>
      <c r="G29" s="57" t="s">
        <v>682</v>
      </c>
      <c r="H29" s="57" t="s">
        <v>1010</v>
      </c>
      <c r="I29" s="57" t="s">
        <v>690</v>
      </c>
      <c r="J29" s="60" t="s">
        <v>1012</v>
      </c>
      <c r="K29" s="57" t="s">
        <v>1013</v>
      </c>
      <c r="L29" s="60" t="s">
        <v>1014</v>
      </c>
      <c r="M29" s="57" t="s">
        <v>1015</v>
      </c>
      <c r="N29" s="57" t="s">
        <v>1016</v>
      </c>
      <c r="O29" s="57" t="s">
        <v>111</v>
      </c>
      <c r="P29" s="57" t="s">
        <v>204</v>
      </c>
      <c r="Q29" s="57" t="s">
        <v>206</v>
      </c>
      <c r="R29" s="57" t="s">
        <v>691</v>
      </c>
      <c r="S29" s="57" t="s">
        <v>1017</v>
      </c>
      <c r="T29" s="57" t="s">
        <v>1018</v>
      </c>
      <c r="U29" s="57" t="s">
        <v>1019</v>
      </c>
      <c r="V29" s="57" t="s">
        <v>768</v>
      </c>
      <c r="W29" s="69" t="s">
        <v>1020</v>
      </c>
    </row>
    <row r="30" ht="33.75" customHeight="1">
      <c r="A30" s="24">
        <v>46292.78900715278</v>
      </c>
      <c r="B30" s="26" t="s">
        <v>1021</v>
      </c>
      <c r="C30" s="26" t="s">
        <v>62</v>
      </c>
      <c r="D30" s="26" t="s">
        <v>1022</v>
      </c>
      <c r="E30" s="26" t="s">
        <v>1023</v>
      </c>
      <c r="F30" s="37" t="s">
        <v>1024</v>
      </c>
      <c r="G30" s="26" t="s">
        <v>554</v>
      </c>
      <c r="H30" s="26" t="s">
        <v>1021</v>
      </c>
      <c r="I30" s="26" t="s">
        <v>563</v>
      </c>
      <c r="J30" s="37" t="s">
        <v>1025</v>
      </c>
      <c r="K30" s="26" t="s">
        <v>1026</v>
      </c>
      <c r="L30" s="37" t="s">
        <v>1027</v>
      </c>
      <c r="M30" s="26" t="s">
        <v>1028</v>
      </c>
      <c r="N30" s="26" t="s">
        <v>1029</v>
      </c>
      <c r="O30" s="26" t="s">
        <v>111</v>
      </c>
      <c r="P30" s="26" t="s">
        <v>204</v>
      </c>
      <c r="Q30" s="26" t="s">
        <v>116</v>
      </c>
      <c r="R30" s="26" t="s">
        <v>1030</v>
      </c>
      <c r="S30" s="26" t="s">
        <v>1031</v>
      </c>
      <c r="T30" s="26" t="s">
        <v>1032</v>
      </c>
      <c r="U30" s="26" t="s">
        <v>1033</v>
      </c>
      <c r="V30" s="95"/>
      <c r="W30" s="54" t="s">
        <v>1034</v>
      </c>
    </row>
    <row r="31" ht="33.75" customHeight="1">
      <c r="A31" s="56">
        <v>46293.34371832176</v>
      </c>
      <c r="B31" s="57" t="s">
        <v>1035</v>
      </c>
      <c r="C31" s="57" t="s">
        <v>62</v>
      </c>
      <c r="D31" s="57" t="s">
        <v>566</v>
      </c>
      <c r="E31" s="57" t="s">
        <v>1036</v>
      </c>
      <c r="F31" s="60" t="s">
        <v>1037</v>
      </c>
      <c r="G31" s="57" t="s">
        <v>567</v>
      </c>
      <c r="H31" s="57" t="s">
        <v>1039</v>
      </c>
      <c r="I31" s="57" t="s">
        <v>571</v>
      </c>
      <c r="J31" s="60" t="s">
        <v>1040</v>
      </c>
      <c r="K31" s="57" t="s">
        <v>1042</v>
      </c>
      <c r="L31" s="60" t="s">
        <v>1043</v>
      </c>
      <c r="M31" s="57" t="s">
        <v>1046</v>
      </c>
      <c r="N31" s="57" t="s">
        <v>1047</v>
      </c>
      <c r="O31" s="57" t="s">
        <v>203</v>
      </c>
      <c r="P31" s="57" t="s">
        <v>204</v>
      </c>
      <c r="Q31" s="57" t="s">
        <v>224</v>
      </c>
      <c r="R31" s="57" t="s">
        <v>572</v>
      </c>
      <c r="S31" s="57" t="s">
        <v>1048</v>
      </c>
      <c r="T31" s="57" t="s">
        <v>1049</v>
      </c>
      <c r="U31" s="57" t="s">
        <v>1050</v>
      </c>
      <c r="V31" s="107"/>
      <c r="W31" s="69" t="s">
        <v>1052</v>
      </c>
    </row>
    <row r="32" ht="33.75" customHeight="1">
      <c r="A32" s="24">
        <v>46295.81417295139</v>
      </c>
      <c r="B32" s="26" t="s">
        <v>1053</v>
      </c>
      <c r="C32" s="26" t="s">
        <v>62</v>
      </c>
      <c r="D32" s="26" t="s">
        <v>361</v>
      </c>
      <c r="E32" s="26" t="s">
        <v>1054</v>
      </c>
      <c r="F32" s="37" t="s">
        <v>1055</v>
      </c>
      <c r="G32" s="26" t="s">
        <v>365</v>
      </c>
      <c r="H32" s="26" t="s">
        <v>1057</v>
      </c>
      <c r="I32" s="26" t="s">
        <v>380</v>
      </c>
      <c r="J32" s="37" t="s">
        <v>1058</v>
      </c>
      <c r="K32" s="26" t="s">
        <v>1060</v>
      </c>
      <c r="L32" s="37" t="s">
        <v>1061</v>
      </c>
      <c r="M32" s="26" t="s">
        <v>1062</v>
      </c>
      <c r="N32" s="26" t="s">
        <v>1063</v>
      </c>
      <c r="O32" s="26" t="s">
        <v>111</v>
      </c>
      <c r="P32" s="26" t="s">
        <v>307</v>
      </c>
      <c r="Q32" s="26" t="s">
        <v>224</v>
      </c>
      <c r="R32" s="26" t="s">
        <v>1064</v>
      </c>
      <c r="S32" s="26" t="s">
        <v>1065</v>
      </c>
      <c r="T32" s="26" t="s">
        <v>1066</v>
      </c>
      <c r="U32" s="26" t="s">
        <v>1067</v>
      </c>
      <c r="V32" s="95"/>
      <c r="W32" s="54" t="s">
        <v>1069</v>
      </c>
    </row>
    <row r="33" ht="33.75" customHeight="1">
      <c r="A33" s="56">
        <v>46295.97892096065</v>
      </c>
      <c r="B33" s="57" t="s">
        <v>1070</v>
      </c>
      <c r="C33" s="57" t="s">
        <v>62</v>
      </c>
      <c r="D33" s="57" t="s">
        <v>575</v>
      </c>
      <c r="E33" s="57" t="s">
        <v>1071</v>
      </c>
      <c r="F33" s="60" t="s">
        <v>1072</v>
      </c>
      <c r="G33" s="57" t="s">
        <v>576</v>
      </c>
      <c r="H33" s="57" t="s">
        <v>1070</v>
      </c>
      <c r="I33" s="57" t="s">
        <v>585</v>
      </c>
      <c r="J33" s="60" t="s">
        <v>1074</v>
      </c>
      <c r="K33" s="57" t="s">
        <v>1076</v>
      </c>
      <c r="L33" s="60" t="s">
        <v>1077</v>
      </c>
      <c r="M33" s="57" t="s">
        <v>1079</v>
      </c>
      <c r="N33" s="57" t="s">
        <v>1080</v>
      </c>
      <c r="O33" s="57" t="s">
        <v>111</v>
      </c>
      <c r="P33" s="57" t="s">
        <v>307</v>
      </c>
      <c r="Q33" s="57" t="s">
        <v>224</v>
      </c>
      <c r="R33" s="57" t="s">
        <v>587</v>
      </c>
      <c r="S33" s="57" t="s">
        <v>1083</v>
      </c>
      <c r="T33" s="57" t="s">
        <v>1084</v>
      </c>
      <c r="U33" s="57" t="s">
        <v>1086</v>
      </c>
      <c r="V33" s="57" t="s">
        <v>586</v>
      </c>
      <c r="W33" s="69" t="s">
        <v>1087</v>
      </c>
    </row>
    <row r="34" ht="33.75" customHeight="1">
      <c r="A34" s="24">
        <v>46296.812884178245</v>
      </c>
      <c r="B34" s="26" t="s">
        <v>1093</v>
      </c>
      <c r="C34" s="26" t="s">
        <v>62</v>
      </c>
      <c r="D34" s="26" t="s">
        <v>693</v>
      </c>
      <c r="E34" s="26" t="s">
        <v>1095</v>
      </c>
      <c r="F34" s="37" t="s">
        <v>1096</v>
      </c>
      <c r="G34" s="26" t="s">
        <v>696</v>
      </c>
      <c r="H34" s="26" t="s">
        <v>1093</v>
      </c>
      <c r="I34" s="26" t="s">
        <v>699</v>
      </c>
      <c r="J34" s="37" t="s">
        <v>1103</v>
      </c>
      <c r="K34" s="26" t="s">
        <v>1105</v>
      </c>
      <c r="L34" s="37" t="s">
        <v>1106</v>
      </c>
      <c r="M34" s="26" t="s">
        <v>1107</v>
      </c>
      <c r="N34" s="26" t="s">
        <v>1107</v>
      </c>
      <c r="O34" s="26" t="s">
        <v>111</v>
      </c>
      <c r="P34" s="26" t="s">
        <v>204</v>
      </c>
      <c r="Q34" s="26" t="s">
        <v>206</v>
      </c>
      <c r="R34" s="26" t="s">
        <v>700</v>
      </c>
      <c r="S34" s="26" t="s">
        <v>1108</v>
      </c>
      <c r="T34" s="26" t="s">
        <v>1109</v>
      </c>
      <c r="U34" s="26" t="s">
        <v>1110</v>
      </c>
      <c r="V34" s="95"/>
      <c r="W34" s="54" t="s">
        <v>1111</v>
      </c>
    </row>
    <row r="35" ht="33.75" customHeight="1">
      <c r="A35" s="56">
        <v>46300.45332591435</v>
      </c>
      <c r="B35" s="57" t="s">
        <v>1112</v>
      </c>
      <c r="C35" s="57" t="s">
        <v>62</v>
      </c>
      <c r="D35" s="57" t="s">
        <v>1113</v>
      </c>
      <c r="E35" s="57" t="s">
        <v>1114</v>
      </c>
      <c r="F35" s="57" t="s">
        <v>1115</v>
      </c>
      <c r="G35" s="57" t="s">
        <v>704</v>
      </c>
      <c r="H35" s="57" t="s">
        <v>1112</v>
      </c>
      <c r="I35" s="57" t="s">
        <v>710</v>
      </c>
      <c r="J35" s="60" t="s">
        <v>1116</v>
      </c>
      <c r="K35" s="57" t="s">
        <v>303</v>
      </c>
      <c r="L35" s="60" t="s">
        <v>1117</v>
      </c>
      <c r="M35" s="57" t="s">
        <v>1118</v>
      </c>
      <c r="N35" s="57" t="s">
        <v>1119</v>
      </c>
      <c r="O35" s="57" t="s">
        <v>111</v>
      </c>
      <c r="P35" s="57" t="s">
        <v>204</v>
      </c>
      <c r="Q35" s="57" t="s">
        <v>206</v>
      </c>
      <c r="R35" s="57" t="s">
        <v>711</v>
      </c>
      <c r="S35" s="57" t="s">
        <v>1120</v>
      </c>
      <c r="T35" s="57" t="s">
        <v>1121</v>
      </c>
      <c r="U35" s="57" t="s">
        <v>1122</v>
      </c>
      <c r="V35" s="57" t="s">
        <v>269</v>
      </c>
      <c r="W35" s="69" t="s">
        <v>1123</v>
      </c>
    </row>
    <row r="36" ht="33.75" customHeight="1">
      <c r="A36" s="24">
        <v>46300.53631322917</v>
      </c>
      <c r="B36" s="26" t="s">
        <v>1124</v>
      </c>
      <c r="C36" s="26" t="s">
        <v>62</v>
      </c>
      <c r="D36" s="26" t="s">
        <v>714</v>
      </c>
      <c r="E36" s="26" t="s">
        <v>1125</v>
      </c>
      <c r="F36" s="26" t="s">
        <v>1126</v>
      </c>
      <c r="G36" s="26" t="s">
        <v>718</v>
      </c>
      <c r="H36" s="26" t="s">
        <v>1127</v>
      </c>
      <c r="I36" s="26" t="s">
        <v>724</v>
      </c>
      <c r="J36" s="37" t="s">
        <v>1128</v>
      </c>
      <c r="K36" s="26" t="s">
        <v>1129</v>
      </c>
      <c r="L36" s="37" t="s">
        <v>1130</v>
      </c>
      <c r="M36" s="26" t="s">
        <v>1131</v>
      </c>
      <c r="N36" s="26" t="s">
        <v>1132</v>
      </c>
      <c r="O36" s="26" t="s">
        <v>111</v>
      </c>
      <c r="P36" s="26" t="s">
        <v>204</v>
      </c>
      <c r="Q36" s="26" t="s">
        <v>206</v>
      </c>
      <c r="R36" s="26" t="s">
        <v>725</v>
      </c>
      <c r="S36" s="26" t="s">
        <v>1133</v>
      </c>
      <c r="T36" s="26" t="s">
        <v>1134</v>
      </c>
      <c r="U36" s="26" t="s">
        <v>1135</v>
      </c>
      <c r="V36" s="26" t="s">
        <v>1136</v>
      </c>
      <c r="W36" s="54" t="s">
        <v>1137</v>
      </c>
    </row>
    <row r="37" ht="33.75" customHeight="1">
      <c r="A37" s="56">
        <v>46302.37931751157</v>
      </c>
      <c r="B37" s="57" t="s">
        <v>1138</v>
      </c>
      <c r="C37" s="57" t="s">
        <v>62</v>
      </c>
      <c r="D37" s="57" t="s">
        <v>1139</v>
      </c>
      <c r="E37" s="57" t="s">
        <v>1140</v>
      </c>
      <c r="F37" s="57" t="s">
        <v>1141</v>
      </c>
      <c r="G37" s="106">
        <v>9.4767858E8</v>
      </c>
      <c r="H37" s="57" t="s">
        <v>1138</v>
      </c>
      <c r="I37" s="57" t="s">
        <v>736</v>
      </c>
      <c r="J37" s="60" t="s">
        <v>1142</v>
      </c>
      <c r="K37" s="57" t="s">
        <v>1143</v>
      </c>
      <c r="L37" s="60" t="s">
        <v>1144</v>
      </c>
      <c r="M37" s="57" t="s">
        <v>1145</v>
      </c>
      <c r="N37" s="57" t="s">
        <v>1146</v>
      </c>
      <c r="O37" s="57" t="s">
        <v>111</v>
      </c>
      <c r="P37" s="57" t="s">
        <v>204</v>
      </c>
      <c r="Q37" s="57" t="s">
        <v>224</v>
      </c>
      <c r="R37" s="57" t="s">
        <v>1147</v>
      </c>
      <c r="S37" s="57" t="s">
        <v>1148</v>
      </c>
      <c r="T37" s="57" t="s">
        <v>1149</v>
      </c>
      <c r="U37" s="57" t="s">
        <v>1150</v>
      </c>
      <c r="V37" s="57" t="s">
        <v>586</v>
      </c>
      <c r="W37" s="69" t="s">
        <v>1151</v>
      </c>
    </row>
    <row r="38" ht="33.75" customHeight="1">
      <c r="A38" s="24">
        <v>46304.304124918985</v>
      </c>
      <c r="B38" s="26" t="s">
        <v>1152</v>
      </c>
      <c r="C38" s="26" t="s">
        <v>62</v>
      </c>
      <c r="D38" s="26" t="s">
        <v>590</v>
      </c>
      <c r="E38" s="26" t="s">
        <v>1153</v>
      </c>
      <c r="F38" s="95"/>
      <c r="G38" s="26" t="s">
        <v>444</v>
      </c>
      <c r="H38" s="26" t="s">
        <v>1152</v>
      </c>
      <c r="I38" s="26" t="s">
        <v>595</v>
      </c>
      <c r="J38" s="37" t="s">
        <v>1154</v>
      </c>
      <c r="K38" s="26" t="s">
        <v>1155</v>
      </c>
      <c r="L38" s="37" t="s">
        <v>1156</v>
      </c>
      <c r="M38" s="26" t="s">
        <v>1157</v>
      </c>
      <c r="N38" s="26" t="s">
        <v>1158</v>
      </c>
      <c r="O38" s="26" t="s">
        <v>111</v>
      </c>
      <c r="P38" s="26" t="s">
        <v>307</v>
      </c>
      <c r="Q38" s="26" t="s">
        <v>224</v>
      </c>
      <c r="R38" s="26" t="s">
        <v>597</v>
      </c>
      <c r="S38" s="26" t="s">
        <v>1159</v>
      </c>
      <c r="T38" s="26" t="s">
        <v>1160</v>
      </c>
      <c r="U38" s="26" t="s">
        <v>1161</v>
      </c>
      <c r="V38" s="26" t="s">
        <v>1162</v>
      </c>
      <c r="W38" s="160"/>
    </row>
    <row r="39" ht="33.75" customHeight="1">
      <c r="A39" s="56">
        <v>46306.726128298615</v>
      </c>
      <c r="B39" s="57" t="s">
        <v>1163</v>
      </c>
      <c r="C39" s="57" t="s">
        <v>62</v>
      </c>
      <c r="D39" s="57" t="s">
        <v>739</v>
      </c>
      <c r="E39" s="57" t="s">
        <v>1164</v>
      </c>
      <c r="F39" s="60" t="s">
        <v>1165</v>
      </c>
      <c r="G39" s="57" t="s">
        <v>742</v>
      </c>
      <c r="H39" s="57" t="s">
        <v>1163</v>
      </c>
      <c r="I39" s="57" t="s">
        <v>746</v>
      </c>
      <c r="J39" s="60" t="s">
        <v>1166</v>
      </c>
      <c r="K39" s="57" t="s">
        <v>303</v>
      </c>
      <c r="L39" s="60" t="s">
        <v>1167</v>
      </c>
      <c r="M39" s="57" t="s">
        <v>1168</v>
      </c>
      <c r="N39" s="57" t="s">
        <v>1168</v>
      </c>
      <c r="O39" s="57" t="s">
        <v>111</v>
      </c>
      <c r="P39" s="57" t="s">
        <v>204</v>
      </c>
      <c r="Q39" s="57" t="s">
        <v>224</v>
      </c>
      <c r="R39" s="57" t="s">
        <v>1169</v>
      </c>
      <c r="S39" s="57" t="s">
        <v>1170</v>
      </c>
      <c r="T39" s="57" t="s">
        <v>1171</v>
      </c>
      <c r="U39" s="57" t="s">
        <v>1172</v>
      </c>
      <c r="V39" s="57" t="s">
        <v>1173</v>
      </c>
      <c r="W39" s="69" t="s">
        <v>1174</v>
      </c>
    </row>
    <row r="40" ht="33.75" customHeight="1">
      <c r="A40" s="24">
        <v>46306.91915826389</v>
      </c>
      <c r="B40" s="26" t="s">
        <v>1175</v>
      </c>
      <c r="C40" s="26" t="s">
        <v>62</v>
      </c>
      <c r="D40" s="26" t="s">
        <v>1176</v>
      </c>
      <c r="E40" s="26" t="s">
        <v>1177</v>
      </c>
      <c r="F40" s="26" t="s">
        <v>1178</v>
      </c>
      <c r="G40" s="26" t="s">
        <v>751</v>
      </c>
      <c r="H40" s="26" t="s">
        <v>1175</v>
      </c>
      <c r="I40" s="26" t="s">
        <v>754</v>
      </c>
      <c r="J40" s="37" t="s">
        <v>1179</v>
      </c>
      <c r="K40" s="26" t="s">
        <v>1180</v>
      </c>
      <c r="L40" s="37" t="s">
        <v>1181</v>
      </c>
      <c r="M40" s="26" t="s">
        <v>1182</v>
      </c>
      <c r="N40" s="26" t="s">
        <v>1183</v>
      </c>
      <c r="O40" s="26" t="s">
        <v>111</v>
      </c>
      <c r="P40" s="26" t="s">
        <v>113</v>
      </c>
      <c r="Q40" s="26" t="s">
        <v>224</v>
      </c>
      <c r="R40" s="26" t="s">
        <v>755</v>
      </c>
      <c r="S40" s="26" t="s">
        <v>1184</v>
      </c>
      <c r="T40" s="26" t="s">
        <v>1185</v>
      </c>
      <c r="U40" s="26" t="s">
        <v>1186</v>
      </c>
      <c r="V40" s="26" t="s">
        <v>586</v>
      </c>
      <c r="W40" s="54" t="s">
        <v>1187</v>
      </c>
    </row>
    <row r="41" ht="33.75" customHeight="1">
      <c r="A41" s="56">
        <v>46307.37753423611</v>
      </c>
      <c r="B41" s="57" t="s">
        <v>1188</v>
      </c>
      <c r="C41" s="57" t="s">
        <v>62</v>
      </c>
      <c r="D41" s="57" t="s">
        <v>757</v>
      </c>
      <c r="E41" s="57" t="s">
        <v>1189</v>
      </c>
      <c r="F41" s="60" t="s">
        <v>1190</v>
      </c>
      <c r="G41" s="57" t="s">
        <v>761</v>
      </c>
      <c r="H41" s="57" t="s">
        <v>1188</v>
      </c>
      <c r="I41" s="57" t="s">
        <v>776</v>
      </c>
      <c r="J41" s="60" t="s">
        <v>1191</v>
      </c>
      <c r="K41" s="107"/>
      <c r="L41" s="60" t="s">
        <v>1192</v>
      </c>
      <c r="M41" s="57" t="s">
        <v>1193</v>
      </c>
      <c r="N41" s="57" t="s">
        <v>1194</v>
      </c>
      <c r="O41" s="57" t="s">
        <v>111</v>
      </c>
      <c r="P41" s="57" t="s">
        <v>307</v>
      </c>
      <c r="Q41" s="57" t="s">
        <v>224</v>
      </c>
      <c r="R41" s="57" t="s">
        <v>777</v>
      </c>
      <c r="S41" s="57" t="s">
        <v>1195</v>
      </c>
      <c r="T41" s="57" t="s">
        <v>1196</v>
      </c>
      <c r="U41" s="57" t="s">
        <v>1197</v>
      </c>
      <c r="V41" s="107"/>
      <c r="W41" s="69" t="s">
        <v>1198</v>
      </c>
    </row>
    <row r="42" ht="33.75" customHeight="1">
      <c r="A42" s="24">
        <v>46307.746504386574</v>
      </c>
      <c r="B42" s="26" t="s">
        <v>1199</v>
      </c>
      <c r="C42" s="26" t="s">
        <v>62</v>
      </c>
      <c r="D42" s="26" t="s">
        <v>779</v>
      </c>
      <c r="E42" s="26" t="s">
        <v>1200</v>
      </c>
      <c r="F42" s="26" t="s">
        <v>1201</v>
      </c>
      <c r="G42" s="26" t="s">
        <v>781</v>
      </c>
      <c r="H42" s="26" t="s">
        <v>1199</v>
      </c>
      <c r="I42" s="26" t="s">
        <v>789</v>
      </c>
      <c r="J42" s="37" t="s">
        <v>1202</v>
      </c>
      <c r="K42" s="26" t="s">
        <v>1203</v>
      </c>
      <c r="L42" s="37" t="s">
        <v>1204</v>
      </c>
      <c r="M42" s="26" t="s">
        <v>1205</v>
      </c>
      <c r="N42" s="26" t="s">
        <v>1206</v>
      </c>
      <c r="O42" s="26" t="s">
        <v>111</v>
      </c>
      <c r="P42" s="26" t="s">
        <v>307</v>
      </c>
      <c r="Q42" s="26" t="s">
        <v>206</v>
      </c>
      <c r="R42" s="26" t="s">
        <v>791</v>
      </c>
      <c r="S42" s="26" t="s">
        <v>1207</v>
      </c>
      <c r="T42" s="26" t="s">
        <v>1208</v>
      </c>
      <c r="U42" s="26" t="s">
        <v>1209</v>
      </c>
      <c r="V42" s="26" t="s">
        <v>1210</v>
      </c>
      <c r="W42" s="54" t="s">
        <v>1211</v>
      </c>
    </row>
    <row r="43" ht="33.75" customHeight="1">
      <c r="A43" s="56">
        <v>46307.83871273148</v>
      </c>
      <c r="B43" s="57" t="s">
        <v>1212</v>
      </c>
      <c r="C43" s="57" t="s">
        <v>62</v>
      </c>
      <c r="D43" s="57" t="s">
        <v>795</v>
      </c>
      <c r="E43" s="57" t="s">
        <v>1213</v>
      </c>
      <c r="F43" s="60" t="s">
        <v>1214</v>
      </c>
      <c r="G43" s="57" t="s">
        <v>799</v>
      </c>
      <c r="H43" s="57" t="s">
        <v>1212</v>
      </c>
      <c r="I43" s="57" t="s">
        <v>804</v>
      </c>
      <c r="J43" s="57" t="s">
        <v>1041</v>
      </c>
      <c r="K43" s="107"/>
      <c r="L43" s="60" t="s">
        <v>1215</v>
      </c>
      <c r="M43" s="57" t="s">
        <v>1216</v>
      </c>
      <c r="N43" s="57" t="s">
        <v>1217</v>
      </c>
      <c r="O43" s="57" t="s">
        <v>111</v>
      </c>
      <c r="P43" s="57" t="s">
        <v>113</v>
      </c>
      <c r="Q43" s="57" t="s">
        <v>116</v>
      </c>
      <c r="R43" s="57" t="s">
        <v>806</v>
      </c>
      <c r="S43" s="57" t="s">
        <v>1218</v>
      </c>
      <c r="T43" s="57" t="s">
        <v>1219</v>
      </c>
      <c r="U43" s="57" t="s">
        <v>1220</v>
      </c>
      <c r="V43" s="57" t="s">
        <v>1221</v>
      </c>
      <c r="W43" s="69" t="s">
        <v>1222</v>
      </c>
    </row>
    <row r="44" ht="33.75" customHeight="1">
      <c r="A44" s="24">
        <v>46307.892462766205</v>
      </c>
      <c r="B44" s="26" t="s">
        <v>1223</v>
      </c>
      <c r="C44" s="26" t="s">
        <v>62</v>
      </c>
      <c r="D44" s="26" t="s">
        <v>599</v>
      </c>
      <c r="E44" s="26" t="s">
        <v>1224</v>
      </c>
      <c r="F44" s="37" t="s">
        <v>1225</v>
      </c>
      <c r="G44" s="26" t="s">
        <v>600</v>
      </c>
      <c r="H44" s="26" t="s">
        <v>1223</v>
      </c>
      <c r="I44" s="26" t="s">
        <v>603</v>
      </c>
      <c r="J44" s="37" t="s">
        <v>1226</v>
      </c>
      <c r="K44" s="26" t="s">
        <v>1227</v>
      </c>
      <c r="L44" s="37" t="s">
        <v>1228</v>
      </c>
      <c r="M44" s="26" t="s">
        <v>1229</v>
      </c>
      <c r="N44" s="26" t="s">
        <v>1229</v>
      </c>
      <c r="O44" s="26" t="s">
        <v>203</v>
      </c>
      <c r="P44" s="26" t="s">
        <v>204</v>
      </c>
      <c r="Q44" s="26" t="s">
        <v>224</v>
      </c>
      <c r="R44" s="26" t="s">
        <v>604</v>
      </c>
      <c r="S44" s="26" t="s">
        <v>1230</v>
      </c>
      <c r="T44" s="26" t="s">
        <v>1231</v>
      </c>
      <c r="U44" s="26" t="s">
        <v>1232</v>
      </c>
      <c r="V44" s="26" t="s">
        <v>1233</v>
      </c>
      <c r="W44" s="54" t="s">
        <v>1234</v>
      </c>
    </row>
    <row r="45" ht="33.75" customHeight="1">
      <c r="A45" s="161">
        <v>46308.79396267361</v>
      </c>
      <c r="B45" s="162" t="s">
        <v>1235</v>
      </c>
      <c r="C45" s="162" t="s">
        <v>62</v>
      </c>
      <c r="D45" s="162" t="s">
        <v>606</v>
      </c>
      <c r="E45" s="162" t="s">
        <v>109</v>
      </c>
      <c r="F45" s="162" t="s">
        <v>1236</v>
      </c>
      <c r="G45" s="162" t="s">
        <v>608</v>
      </c>
      <c r="H45" s="162" t="s">
        <v>1235</v>
      </c>
      <c r="I45" s="162" t="s">
        <v>613</v>
      </c>
      <c r="J45" s="163" t="s">
        <v>1237</v>
      </c>
      <c r="K45" s="162" t="s">
        <v>303</v>
      </c>
      <c r="L45" s="163" t="s">
        <v>1238</v>
      </c>
      <c r="M45" s="162" t="s">
        <v>1239</v>
      </c>
      <c r="N45" s="162" t="s">
        <v>1240</v>
      </c>
      <c r="O45" s="162" t="s">
        <v>111</v>
      </c>
      <c r="P45" s="162" t="s">
        <v>113</v>
      </c>
      <c r="Q45" s="162" t="s">
        <v>228</v>
      </c>
      <c r="R45" s="162" t="s">
        <v>615</v>
      </c>
      <c r="S45" s="162" t="s">
        <v>1241</v>
      </c>
      <c r="T45" s="162" t="s">
        <v>1242</v>
      </c>
      <c r="U45" s="162" t="s">
        <v>1243</v>
      </c>
      <c r="V45" s="162" t="s">
        <v>1244</v>
      </c>
      <c r="W45" s="164" t="s">
        <v>1245</v>
      </c>
    </row>
    <row r="46" ht="33.75" customHeight="1">
      <c r="A46" s="165">
        <v>46308.959269513885</v>
      </c>
      <c r="B46" s="166" t="s">
        <v>620</v>
      </c>
      <c r="C46" s="166" t="s">
        <v>62</v>
      </c>
      <c r="D46" s="166" t="s">
        <v>617</v>
      </c>
      <c r="E46" s="166" t="s">
        <v>1246</v>
      </c>
      <c r="F46" s="166" t="s">
        <v>1247</v>
      </c>
      <c r="G46" s="166" t="s">
        <v>619</v>
      </c>
      <c r="H46" s="166" t="s">
        <v>620</v>
      </c>
      <c r="I46" s="166" t="s">
        <v>1248</v>
      </c>
      <c r="J46" s="167" t="s">
        <v>1249</v>
      </c>
      <c r="K46" s="166" t="s">
        <v>303</v>
      </c>
      <c r="L46" s="167" t="s">
        <v>1250</v>
      </c>
      <c r="M46" s="166" t="s">
        <v>1251</v>
      </c>
      <c r="N46" s="166" t="s">
        <v>1252</v>
      </c>
      <c r="O46" s="166" t="s">
        <v>111</v>
      </c>
      <c r="P46" s="166" t="s">
        <v>307</v>
      </c>
      <c r="Q46" s="166" t="s">
        <v>224</v>
      </c>
      <c r="R46" s="166" t="s">
        <v>1253</v>
      </c>
      <c r="S46" s="166" t="s">
        <v>1254</v>
      </c>
      <c r="T46" s="166" t="s">
        <v>1255</v>
      </c>
      <c r="U46" s="166" t="s">
        <v>1256</v>
      </c>
      <c r="V46" s="166" t="s">
        <v>1257</v>
      </c>
      <c r="W46" s="168" t="s">
        <v>1258</v>
      </c>
    </row>
    <row r="47" ht="33.75" customHeight="1">
      <c r="A47" s="169">
        <v>46310.499919699076</v>
      </c>
      <c r="B47" s="170" t="s">
        <v>1092</v>
      </c>
      <c r="C47" s="170" t="s">
        <v>62</v>
      </c>
      <c r="D47" s="170" t="s">
        <v>1082</v>
      </c>
      <c r="E47" s="170" t="s">
        <v>1259</v>
      </c>
      <c r="F47" s="171" t="s">
        <v>1260</v>
      </c>
      <c r="G47" s="170" t="s">
        <v>1091</v>
      </c>
      <c r="H47" s="170" t="s">
        <v>1092</v>
      </c>
      <c r="I47" s="170" t="s">
        <v>1094</v>
      </c>
      <c r="J47" s="171" t="s">
        <v>1261</v>
      </c>
      <c r="K47" s="170" t="s">
        <v>303</v>
      </c>
      <c r="L47" s="171" t="s">
        <v>1262</v>
      </c>
      <c r="M47" s="170" t="s">
        <v>1263</v>
      </c>
      <c r="N47" s="170" t="s">
        <v>1264</v>
      </c>
      <c r="O47" s="170" t="s">
        <v>111</v>
      </c>
      <c r="P47" s="170" t="s">
        <v>113</v>
      </c>
      <c r="Q47" s="170" t="s">
        <v>228</v>
      </c>
      <c r="R47" s="170" t="s">
        <v>1089</v>
      </c>
      <c r="S47" s="170" t="s">
        <v>1265</v>
      </c>
      <c r="T47" s="170" t="s">
        <v>1090</v>
      </c>
      <c r="U47" s="170" t="s">
        <v>1266</v>
      </c>
      <c r="V47" s="170" t="s">
        <v>768</v>
      </c>
      <c r="W47" s="172" t="s">
        <v>1267</v>
      </c>
      <c r="X47" s="173"/>
      <c r="Y47" s="173"/>
      <c r="Z47" s="173"/>
      <c r="AA47" s="173"/>
      <c r="AB47" s="173"/>
      <c r="AC47" s="173"/>
    </row>
    <row r="48" ht="33.75" customHeight="1">
      <c r="A48" s="174">
        <v>46314.66683313657</v>
      </c>
      <c r="B48" s="175" t="s">
        <v>1102</v>
      </c>
      <c r="C48" s="175" t="s">
        <v>62</v>
      </c>
      <c r="D48" s="175" t="s">
        <v>1097</v>
      </c>
      <c r="E48" s="175" t="s">
        <v>1268</v>
      </c>
      <c r="F48" s="176"/>
      <c r="G48" s="177">
        <v>5.9170722333E10</v>
      </c>
      <c r="H48" s="175" t="s">
        <v>1102</v>
      </c>
      <c r="I48" s="175" t="s">
        <v>1104</v>
      </c>
      <c r="J48" s="178" t="s">
        <v>1269</v>
      </c>
      <c r="K48" s="175" t="s">
        <v>303</v>
      </c>
      <c r="L48" s="178" t="s">
        <v>1270</v>
      </c>
      <c r="M48" s="175" t="s">
        <v>1271</v>
      </c>
      <c r="N48" s="175" t="s">
        <v>1272</v>
      </c>
      <c r="O48" s="175" t="s">
        <v>111</v>
      </c>
      <c r="P48" s="175" t="s">
        <v>204</v>
      </c>
      <c r="Q48" s="175" t="s">
        <v>206</v>
      </c>
      <c r="R48" s="175" t="s">
        <v>1273</v>
      </c>
      <c r="S48" s="175" t="s">
        <v>1274</v>
      </c>
      <c r="T48" s="175" t="s">
        <v>1100</v>
      </c>
      <c r="U48" s="175" t="s">
        <v>1275</v>
      </c>
      <c r="V48" s="175" t="s">
        <v>931</v>
      </c>
      <c r="W48" s="179" t="s">
        <v>1276</v>
      </c>
      <c r="X48" s="173"/>
      <c r="Y48" s="173"/>
      <c r="Z48" s="173"/>
      <c r="AA48" s="173"/>
      <c r="AB48" s="173"/>
      <c r="AC48" s="173"/>
    </row>
    <row r="49" ht="33.75" customHeight="1"/>
    <row r="50" ht="33.75" customHeight="1"/>
    <row r="51" ht="33.75" customHeight="1"/>
    <row r="52" ht="33.75" customHeight="1"/>
    <row r="53" ht="33.75" customHeight="1"/>
    <row r="54" ht="33.75" customHeight="1"/>
    <row r="55" ht="33.75" customHeight="1"/>
    <row r="56" ht="33.75" customHeight="1"/>
    <row r="57" ht="33.75" customHeight="1"/>
    <row r="58" ht="33.75" customHeight="1"/>
    <row r="59" ht="33.75" customHeight="1"/>
    <row r="60" ht="33.75" customHeight="1"/>
    <row r="61" ht="33.75" customHeight="1"/>
    <row r="62" ht="33.75" customHeight="1"/>
    <row r="63" ht="33.75" customHeight="1"/>
    <row r="64" ht="33.75" customHeight="1"/>
    <row r="65" ht="33.75" customHeight="1"/>
    <row r="66" ht="33.75" customHeight="1"/>
    <row r="67" ht="33.75" customHeight="1"/>
    <row r="68" ht="33.75" customHeight="1"/>
    <row r="69" ht="33.75" customHeight="1"/>
    <row r="70" ht="33.75" customHeight="1"/>
    <row r="71" ht="33.75" customHeight="1"/>
    <row r="72" ht="33.75" customHeight="1"/>
    <row r="73" ht="33.75" customHeight="1"/>
    <row r="74" ht="33.75" customHeight="1"/>
    <row r="75" ht="33.75" customHeight="1"/>
    <row r="76" ht="33.75" customHeight="1"/>
    <row r="77" ht="33.75" customHeight="1"/>
    <row r="78" ht="33.75" customHeight="1"/>
    <row r="79" ht="33.75" customHeight="1"/>
    <row r="80" ht="33.75" customHeight="1"/>
    <row r="81" ht="33.75" customHeight="1"/>
    <row r="82" ht="33.75" customHeight="1"/>
    <row r="83" ht="33.75" customHeight="1"/>
    <row r="84" ht="33.75" customHeight="1"/>
    <row r="85" ht="33.75" customHeight="1"/>
    <row r="86" ht="33.75" customHeight="1"/>
    <row r="87" ht="33.75" customHeight="1"/>
    <row r="88" ht="33.75" customHeight="1"/>
    <row r="89" ht="33.75" customHeight="1"/>
    <row r="90" ht="33.75" customHeight="1"/>
    <row r="91" ht="33.75" customHeight="1"/>
    <row r="92" ht="33.75" customHeight="1"/>
    <row r="93" ht="33.75" customHeight="1"/>
    <row r="94" ht="33.75" customHeight="1"/>
    <row r="95" ht="33.75" customHeight="1"/>
    <row r="96" ht="33.75" customHeight="1"/>
    <row r="97" ht="33.75" customHeight="1"/>
    <row r="98" ht="33.75" customHeight="1"/>
    <row r="99" ht="33.75" customHeight="1"/>
    <row r="100" ht="33.75" customHeight="1"/>
    <row r="101" ht="33.75" customHeight="1"/>
    <row r="102" ht="33.75" customHeight="1"/>
    <row r="103" ht="33.75" customHeight="1"/>
    <row r="104" ht="33.75" customHeight="1"/>
    <row r="105" ht="33.75" customHeight="1"/>
    <row r="106" ht="33.75" customHeight="1"/>
    <row r="107" ht="33.75" customHeight="1"/>
    <row r="108" ht="33.75" customHeight="1"/>
    <row r="109" ht="33.75" customHeight="1"/>
    <row r="110" ht="33.75" customHeight="1"/>
    <row r="111" ht="33.75" customHeight="1"/>
    <row r="112" ht="33.75" customHeight="1"/>
    <row r="113" ht="33.75" customHeight="1"/>
    <row r="114" ht="33.75" customHeight="1"/>
    <row r="115" ht="33.75" customHeight="1"/>
    <row r="116" ht="33.75" customHeight="1"/>
    <row r="117" ht="33.75" customHeight="1"/>
    <row r="118" ht="33.75" customHeight="1"/>
    <row r="119" ht="33.75" customHeight="1"/>
    <row r="120" ht="33.75" customHeight="1"/>
    <row r="121" ht="33.75" customHeight="1"/>
    <row r="122" ht="33.75" customHeight="1"/>
    <row r="123" ht="33.75" customHeight="1"/>
    <row r="124" ht="33.75" customHeight="1"/>
    <row r="125" ht="33.75" customHeight="1"/>
    <row r="126" ht="33.75" customHeight="1"/>
    <row r="127" ht="33.75" customHeight="1"/>
    <row r="128" ht="33.75" customHeight="1"/>
    <row r="129" ht="33.75" customHeight="1"/>
    <row r="130" ht="33.75" customHeight="1"/>
    <row r="131" ht="33.75" customHeight="1"/>
    <row r="132" ht="33.75" customHeight="1"/>
    <row r="133" ht="33.75" customHeight="1"/>
    <row r="134" ht="33.75" customHeight="1"/>
    <row r="135" ht="33.75" customHeight="1"/>
    <row r="136" ht="33.75" customHeight="1"/>
    <row r="137" ht="33.75" customHeight="1"/>
    <row r="138" ht="33.75" customHeight="1"/>
    <row r="139" ht="33.75" customHeight="1"/>
    <row r="140" ht="33.75" customHeight="1"/>
    <row r="141" ht="33.75" customHeight="1"/>
    <row r="142" ht="33.75" customHeight="1"/>
    <row r="143" ht="33.75" customHeight="1"/>
    <row r="144" ht="33.75" customHeight="1"/>
    <row r="145" ht="33.75" customHeight="1"/>
    <row r="146" ht="33.75" customHeight="1"/>
    <row r="147" ht="33.75" customHeight="1"/>
    <row r="148" ht="33.75" customHeight="1"/>
    <row r="149" ht="33.75" customHeight="1"/>
    <row r="150" ht="33.75" customHeight="1"/>
    <row r="151" ht="33.75" customHeight="1"/>
    <row r="152" ht="33.75" customHeight="1"/>
    <row r="153" ht="33.75" customHeight="1"/>
    <row r="154" ht="33.75" customHeight="1"/>
    <row r="155" ht="33.75" customHeight="1"/>
    <row r="156" ht="33.75" customHeight="1"/>
    <row r="157" ht="33.75" customHeight="1"/>
    <row r="158" ht="33.75" customHeight="1"/>
    <row r="159" ht="33.75" customHeight="1"/>
    <row r="160" ht="33.75" customHeight="1"/>
    <row r="161" ht="33.75" customHeight="1"/>
    <row r="162" ht="33.75" customHeight="1"/>
    <row r="163" ht="33.75" customHeight="1"/>
    <row r="164" ht="33.75" customHeight="1"/>
    <row r="165" ht="33.75" customHeight="1"/>
    <row r="166" ht="33.75" customHeight="1"/>
    <row r="167" ht="33.75" customHeight="1"/>
    <row r="168" ht="33.75" customHeight="1"/>
    <row r="169" ht="33.75" customHeight="1"/>
    <row r="170" ht="33.75" customHeight="1"/>
    <row r="171" ht="33.75" customHeight="1"/>
    <row r="172" ht="33.75" customHeight="1"/>
    <row r="173" ht="33.75" customHeight="1"/>
    <row r="174" ht="33.75" customHeight="1"/>
    <row r="175" ht="33.75" customHeight="1"/>
    <row r="176" ht="33.75" customHeight="1"/>
    <row r="177" ht="33.75" customHeight="1"/>
    <row r="178" ht="33.75" customHeight="1"/>
    <row r="179" ht="33.75" customHeight="1"/>
    <row r="180" ht="33.75" customHeight="1"/>
    <row r="181" ht="33.75" customHeight="1"/>
    <row r="182" ht="33.75" customHeight="1"/>
    <row r="183" ht="33.75" customHeight="1"/>
    <row r="184" ht="33.75" customHeight="1"/>
    <row r="185" ht="33.75" customHeight="1"/>
    <row r="186" ht="33.75" customHeight="1"/>
    <row r="187" ht="33.75" customHeight="1"/>
    <row r="188" ht="33.75" customHeight="1"/>
    <row r="189" ht="33.75" customHeight="1"/>
    <row r="190" ht="33.75" customHeight="1"/>
    <row r="191" ht="33.75" customHeight="1"/>
    <row r="192" ht="33.75" customHeight="1"/>
    <row r="193" ht="33.75" customHeight="1"/>
    <row r="194" ht="33.75" customHeight="1"/>
    <row r="195" ht="33.75" customHeight="1"/>
    <row r="196" ht="33.75" customHeight="1"/>
    <row r="197" ht="33.75" customHeight="1"/>
    <row r="198" ht="33.75" customHeight="1"/>
    <row r="199" ht="33.75" customHeight="1"/>
    <row r="200" ht="33.75" customHeight="1"/>
    <row r="201" ht="33.75" customHeight="1"/>
    <row r="202" ht="33.75" customHeight="1"/>
    <row r="203" ht="33.75" customHeight="1"/>
    <row r="204" ht="33.75" customHeight="1"/>
    <row r="205" ht="33.75" customHeight="1"/>
    <row r="206" ht="33.75" customHeight="1"/>
    <row r="207" ht="33.75" customHeight="1"/>
    <row r="208" ht="33.75" customHeight="1"/>
    <row r="209" ht="33.75" customHeight="1"/>
    <row r="210" ht="33.75" customHeight="1"/>
    <row r="211" ht="33.75" customHeight="1"/>
    <row r="212" ht="33.75" customHeight="1"/>
    <row r="213" ht="33.75" customHeight="1"/>
    <row r="214" ht="33.75" customHeight="1"/>
    <row r="215" ht="33.75" customHeight="1"/>
    <row r="216" ht="33.75" customHeight="1"/>
    <row r="217" ht="33.75" customHeight="1"/>
    <row r="218" ht="33.75" customHeight="1"/>
    <row r="219" ht="33.75" customHeight="1"/>
    <row r="220" ht="33.75" customHeight="1"/>
    <row r="221" ht="33.75" customHeight="1"/>
    <row r="222" ht="33.75" customHeight="1"/>
    <row r="223" ht="33.75" customHeight="1"/>
    <row r="224" ht="33.75" customHeight="1"/>
    <row r="225" ht="33.75" customHeight="1"/>
    <row r="226" ht="33.75" customHeight="1"/>
    <row r="227" ht="33.75" customHeight="1"/>
    <row r="228" ht="33.75" customHeight="1"/>
    <row r="229" ht="33.75" customHeight="1"/>
    <row r="230" ht="33.75" customHeight="1"/>
    <row r="231" ht="33.75" customHeight="1"/>
    <row r="232" ht="33.75" customHeight="1"/>
    <row r="233" ht="33.75" customHeight="1"/>
    <row r="234" ht="33.75" customHeight="1"/>
    <row r="235" ht="33.75" customHeight="1"/>
    <row r="236" ht="33.75" customHeight="1"/>
    <row r="237" ht="33.75" customHeight="1"/>
    <row r="238" ht="33.75" customHeight="1"/>
    <row r="239" ht="33.75" customHeight="1"/>
    <row r="240" ht="33.75" customHeight="1"/>
    <row r="241" ht="33.75" customHeight="1"/>
    <row r="242" ht="33.75" customHeight="1"/>
    <row r="243" ht="33.75" customHeight="1"/>
    <row r="244" ht="33.75" customHeight="1"/>
    <row r="245" ht="33.75" customHeight="1"/>
    <row r="246" ht="33.75" customHeight="1"/>
    <row r="247" ht="33.75" customHeight="1"/>
    <row r="248" ht="33.75" customHeight="1"/>
    <row r="249" ht="33.75" customHeight="1"/>
    <row r="250" ht="33.75" customHeight="1"/>
    <row r="251" ht="33.75" customHeight="1"/>
    <row r="252" ht="33.75" customHeight="1"/>
    <row r="253" ht="33.75" customHeight="1"/>
    <row r="254" ht="33.75" customHeight="1"/>
    <row r="255" ht="33.75" customHeight="1"/>
    <row r="256" ht="33.75" customHeight="1"/>
    <row r="257" ht="33.75" customHeight="1"/>
    <row r="258" ht="33.75" customHeight="1"/>
    <row r="259" ht="33.75" customHeight="1"/>
    <row r="260" ht="33.75" customHeight="1"/>
    <row r="261" ht="33.75" customHeight="1"/>
    <row r="262" ht="33.75" customHeight="1"/>
    <row r="263" ht="33.75" customHeight="1"/>
    <row r="264" ht="33.75" customHeight="1"/>
    <row r="265" ht="33.75" customHeight="1"/>
    <row r="266" ht="33.75" customHeight="1"/>
    <row r="267" ht="33.75" customHeight="1"/>
    <row r="268" ht="33.75" customHeight="1"/>
    <row r="269" ht="33.75" customHeight="1"/>
    <row r="270" ht="33.75" customHeight="1"/>
    <row r="271" ht="33.75" customHeight="1"/>
    <row r="272" ht="33.75" customHeight="1"/>
    <row r="273" ht="33.75" customHeight="1"/>
    <row r="274" ht="33.75" customHeight="1"/>
    <row r="275" ht="33.75" customHeight="1"/>
    <row r="276" ht="33.75" customHeight="1"/>
    <row r="277" ht="33.75" customHeight="1"/>
    <row r="278" ht="33.75" customHeight="1"/>
    <row r="279" ht="33.75" customHeight="1"/>
    <row r="280" ht="33.75" customHeight="1"/>
    <row r="281" ht="33.75" customHeight="1"/>
    <row r="282" ht="33.75" customHeight="1"/>
    <row r="283" ht="33.75" customHeight="1"/>
    <row r="284" ht="33.75" customHeight="1"/>
    <row r="285" ht="33.75" customHeight="1"/>
    <row r="286" ht="33.75" customHeight="1"/>
    <row r="287" ht="33.75" customHeight="1"/>
    <row r="288" ht="33.75" customHeight="1"/>
    <row r="289" ht="33.75" customHeight="1"/>
    <row r="290" ht="33.75" customHeight="1"/>
    <row r="291" ht="33.75" customHeight="1"/>
    <row r="292" ht="33.75" customHeight="1"/>
    <row r="293" ht="33.75" customHeight="1"/>
    <row r="294" ht="33.75" customHeight="1"/>
    <row r="295" ht="33.75" customHeight="1"/>
    <row r="296" ht="33.75" customHeight="1"/>
    <row r="297" ht="33.75" customHeight="1"/>
    <row r="298" ht="33.75" customHeight="1"/>
    <row r="299" ht="33.75" customHeight="1"/>
    <row r="300" ht="33.75" customHeight="1"/>
    <row r="301" ht="33.75" customHeight="1"/>
    <row r="302" ht="33.75" customHeight="1"/>
    <row r="303" ht="33.75" customHeight="1"/>
    <row r="304" ht="33.75" customHeight="1"/>
    <row r="305" ht="33.75" customHeight="1"/>
    <row r="306" ht="33.75" customHeight="1"/>
    <row r="307" ht="33.75" customHeight="1"/>
    <row r="308" ht="33.75" customHeight="1"/>
    <row r="309" ht="33.75" customHeight="1"/>
    <row r="310" ht="33.75" customHeight="1"/>
    <row r="311" ht="33.75" customHeight="1"/>
    <row r="312" ht="33.75" customHeight="1"/>
    <row r="313" ht="33.75" customHeight="1"/>
    <row r="314" ht="33.75" customHeight="1"/>
    <row r="315" ht="33.75" customHeight="1"/>
    <row r="316" ht="33.75" customHeight="1"/>
    <row r="317" ht="33.75" customHeight="1"/>
    <row r="318" ht="33.75" customHeight="1"/>
    <row r="319" ht="33.75" customHeight="1"/>
    <row r="320" ht="33.75" customHeight="1"/>
    <row r="321" ht="33.75" customHeight="1"/>
    <row r="322" ht="33.75" customHeight="1"/>
    <row r="323" ht="33.75" customHeight="1"/>
    <row r="324" ht="33.75" customHeight="1"/>
    <row r="325" ht="33.75" customHeight="1"/>
    <row r="326" ht="33.75" customHeight="1"/>
    <row r="327" ht="33.75" customHeight="1"/>
    <row r="328" ht="33.75" customHeight="1"/>
    <row r="329" ht="33.75" customHeight="1"/>
    <row r="330" ht="33.75" customHeight="1"/>
    <row r="331" ht="33.75" customHeight="1"/>
    <row r="332" ht="33.75" customHeight="1"/>
    <row r="333" ht="33.75" customHeight="1"/>
    <row r="334" ht="33.75" customHeight="1"/>
    <row r="335" ht="33.75" customHeight="1"/>
    <row r="336" ht="33.75" customHeight="1"/>
    <row r="337" ht="33.75" customHeight="1"/>
    <row r="338" ht="33.75" customHeight="1"/>
    <row r="339" ht="33.75" customHeight="1"/>
    <row r="340" ht="33.75" customHeight="1"/>
    <row r="341" ht="33.75" customHeight="1"/>
    <row r="342" ht="33.75" customHeight="1"/>
    <row r="343" ht="33.75" customHeight="1"/>
    <row r="344" ht="33.75" customHeight="1"/>
    <row r="345" ht="33.75" customHeight="1"/>
    <row r="346" ht="33.75" customHeight="1"/>
    <row r="347" ht="33.75" customHeight="1"/>
    <row r="348" ht="33.75" customHeight="1"/>
    <row r="349" ht="33.75" customHeight="1"/>
    <row r="350" ht="33.75" customHeight="1"/>
    <row r="351" ht="33.75" customHeight="1"/>
    <row r="352" ht="33.75" customHeight="1"/>
    <row r="353" ht="33.75" customHeight="1"/>
    <row r="354" ht="33.75" customHeight="1"/>
    <row r="355" ht="33.75" customHeight="1"/>
    <row r="356" ht="33.75" customHeight="1"/>
    <row r="357" ht="33.75" customHeight="1"/>
    <row r="358" ht="33.75" customHeight="1"/>
    <row r="359" ht="33.75" customHeight="1"/>
    <row r="360" ht="33.75" customHeight="1"/>
    <row r="361" ht="33.75" customHeight="1"/>
    <row r="362" ht="33.75" customHeight="1"/>
    <row r="363" ht="33.75" customHeight="1"/>
    <row r="364" ht="33.75" customHeight="1"/>
    <row r="365" ht="33.75" customHeight="1"/>
    <row r="366" ht="33.75" customHeight="1"/>
    <row r="367" ht="33.75" customHeight="1"/>
    <row r="368" ht="33.75" customHeight="1"/>
    <row r="369" ht="33.75" customHeight="1"/>
    <row r="370" ht="33.75" customHeight="1"/>
    <row r="371" ht="33.75" customHeight="1"/>
    <row r="372" ht="33.75" customHeight="1"/>
    <row r="373" ht="33.75" customHeight="1"/>
    <row r="374" ht="33.75" customHeight="1"/>
    <row r="375" ht="33.75" customHeight="1"/>
    <row r="376" ht="33.75" customHeight="1"/>
    <row r="377" ht="33.75" customHeight="1"/>
    <row r="378" ht="33.75" customHeight="1"/>
    <row r="379" ht="33.75" customHeight="1"/>
    <row r="380" ht="33.75" customHeight="1"/>
    <row r="381" ht="33.75" customHeight="1"/>
    <row r="382" ht="33.75" customHeight="1"/>
    <row r="383" ht="33.75" customHeight="1"/>
    <row r="384" ht="33.75" customHeight="1"/>
    <row r="385" ht="33.75" customHeight="1"/>
    <row r="386" ht="33.75" customHeight="1"/>
    <row r="387" ht="33.75" customHeight="1"/>
    <row r="388" ht="33.75" customHeight="1"/>
    <row r="389" ht="33.75" customHeight="1"/>
    <row r="390" ht="33.75" customHeight="1"/>
    <row r="391" ht="33.75" customHeight="1"/>
    <row r="392" ht="33.75" customHeight="1"/>
    <row r="393" ht="33.75" customHeight="1"/>
    <row r="394" ht="33.75" customHeight="1"/>
    <row r="395" ht="33.75" customHeight="1"/>
    <row r="396" ht="33.75" customHeight="1"/>
    <row r="397" ht="33.75" customHeight="1"/>
    <row r="398" ht="33.75" customHeight="1"/>
    <row r="399" ht="33.75" customHeight="1"/>
    <row r="400" ht="33.75" customHeight="1"/>
    <row r="401" ht="33.75" customHeight="1"/>
    <row r="402" ht="33.75" customHeight="1"/>
    <row r="403" ht="33.75" customHeight="1"/>
    <row r="404" ht="33.75" customHeight="1"/>
    <row r="405" ht="33.75" customHeight="1"/>
    <row r="406" ht="33.75" customHeight="1"/>
    <row r="407" ht="33.75" customHeight="1"/>
    <row r="408" ht="33.75" customHeight="1"/>
    <row r="409" ht="33.75" customHeight="1"/>
    <row r="410" ht="33.75" customHeight="1"/>
    <row r="411" ht="33.75" customHeight="1"/>
    <row r="412" ht="33.75" customHeight="1"/>
    <row r="413" ht="33.75" customHeight="1"/>
    <row r="414" ht="33.75" customHeight="1"/>
    <row r="415" ht="33.75" customHeight="1"/>
    <row r="416" ht="33.75" customHeight="1"/>
    <row r="417" ht="33.75" customHeight="1"/>
    <row r="418" ht="33.75" customHeight="1"/>
    <row r="419" ht="33.75" customHeight="1"/>
    <row r="420" ht="33.75" customHeight="1"/>
    <row r="421" ht="33.75" customHeight="1"/>
    <row r="422" ht="33.75" customHeight="1"/>
    <row r="423" ht="33.75" customHeight="1"/>
    <row r="424" ht="33.75" customHeight="1"/>
    <row r="425" ht="33.75" customHeight="1"/>
    <row r="426" ht="33.75" customHeight="1"/>
    <row r="427" ht="33.75" customHeight="1"/>
    <row r="428" ht="33.75" customHeight="1"/>
    <row r="429" ht="33.75" customHeight="1"/>
    <row r="430" ht="33.75" customHeight="1"/>
    <row r="431" ht="33.75" customHeight="1"/>
    <row r="432" ht="33.75" customHeight="1"/>
    <row r="433" ht="33.75" customHeight="1"/>
    <row r="434" ht="33.75" customHeight="1"/>
    <row r="435" ht="33.75" customHeight="1"/>
    <row r="436" ht="33.75" customHeight="1"/>
    <row r="437" ht="33.75" customHeight="1"/>
    <row r="438" ht="33.75" customHeight="1"/>
    <row r="439" ht="33.75" customHeight="1"/>
    <row r="440" ht="33.75" customHeight="1"/>
    <row r="441" ht="33.75" customHeight="1"/>
    <row r="442" ht="33.75" customHeight="1"/>
    <row r="443" ht="33.75" customHeight="1"/>
    <row r="444" ht="33.75" customHeight="1"/>
    <row r="445" ht="33.75" customHeight="1"/>
    <row r="446" ht="33.75" customHeight="1"/>
    <row r="447" ht="33.75" customHeight="1"/>
    <row r="448" ht="33.75" customHeight="1"/>
    <row r="449" ht="33.75" customHeight="1"/>
    <row r="450" ht="33.75" customHeight="1"/>
    <row r="451" ht="33.75" customHeight="1"/>
    <row r="452" ht="33.75" customHeight="1"/>
    <row r="453" ht="33.75" customHeight="1"/>
    <row r="454" ht="33.75" customHeight="1"/>
    <row r="455" ht="33.75" customHeight="1"/>
    <row r="456" ht="33.75" customHeight="1"/>
    <row r="457" ht="33.75" customHeight="1"/>
    <row r="458" ht="33.75" customHeight="1"/>
    <row r="459" ht="33.75" customHeight="1"/>
    <row r="460" ht="33.75" customHeight="1"/>
    <row r="461" ht="33.75" customHeight="1"/>
    <row r="462" ht="33.75" customHeight="1"/>
    <row r="463" ht="33.75" customHeight="1"/>
    <row r="464" ht="33.75" customHeight="1"/>
    <row r="465" ht="33.75" customHeight="1"/>
    <row r="466" ht="33.75" customHeight="1"/>
    <row r="467" ht="33.75" customHeight="1"/>
    <row r="468" ht="33.75" customHeight="1"/>
    <row r="469" ht="33.75" customHeight="1"/>
    <row r="470" ht="33.75" customHeight="1"/>
    <row r="471" ht="33.75" customHeight="1"/>
    <row r="472" ht="33.75" customHeight="1"/>
    <row r="473" ht="33.75" customHeight="1"/>
    <row r="474" ht="33.75" customHeight="1"/>
    <row r="475" ht="33.75" customHeight="1"/>
    <row r="476" ht="33.75" customHeight="1"/>
    <row r="477" ht="33.75" customHeight="1"/>
    <row r="478" ht="33.75" customHeight="1"/>
    <row r="479" ht="33.75" customHeight="1"/>
    <row r="480" ht="33.75" customHeight="1"/>
    <row r="481" ht="33.75" customHeight="1"/>
    <row r="482" ht="33.75" customHeight="1"/>
    <row r="483" ht="33.75" customHeight="1"/>
    <row r="484" ht="33.75" customHeight="1"/>
    <row r="485" ht="33.75" customHeight="1"/>
    <row r="486" ht="33.75" customHeight="1"/>
    <row r="487" ht="33.75" customHeight="1"/>
    <row r="488" ht="33.75" customHeight="1"/>
    <row r="489" ht="33.75" customHeight="1"/>
    <row r="490" ht="33.75" customHeight="1"/>
    <row r="491" ht="33.75" customHeight="1"/>
    <row r="492" ht="33.75" customHeight="1"/>
    <row r="493" ht="33.75" customHeight="1"/>
    <row r="494" ht="33.75" customHeight="1"/>
    <row r="495" ht="33.75" customHeight="1"/>
    <row r="496" ht="33.75" customHeight="1"/>
    <row r="497" ht="33.75" customHeight="1"/>
    <row r="498" ht="33.75" customHeight="1"/>
    <row r="499" ht="33.75" customHeight="1"/>
    <row r="500" ht="33.75" customHeight="1"/>
    <row r="501" ht="33.75" customHeight="1"/>
    <row r="502" ht="33.75" customHeight="1"/>
    <row r="503" ht="33.75" customHeight="1"/>
    <row r="504" ht="33.75" customHeight="1"/>
    <row r="505" ht="33.75" customHeight="1"/>
    <row r="506" ht="33.75" customHeight="1"/>
    <row r="507" ht="33.75" customHeight="1"/>
    <row r="508" ht="33.75" customHeight="1"/>
    <row r="509" ht="33.75" customHeight="1"/>
    <row r="510" ht="33.75" customHeight="1"/>
    <row r="511" ht="33.75" customHeight="1"/>
    <row r="512" ht="33.75" customHeight="1"/>
    <row r="513" ht="33.75" customHeight="1"/>
    <row r="514" ht="33.75" customHeight="1"/>
    <row r="515" ht="33.75" customHeight="1"/>
    <row r="516" ht="33.75" customHeight="1"/>
    <row r="517" ht="33.75" customHeight="1"/>
    <row r="518" ht="33.75" customHeight="1"/>
    <row r="519" ht="33.75" customHeight="1"/>
    <row r="520" ht="33.75" customHeight="1"/>
    <row r="521" ht="33.75" customHeight="1"/>
    <row r="522" ht="33.75" customHeight="1"/>
    <row r="523" ht="33.75" customHeight="1"/>
    <row r="524" ht="33.75" customHeight="1"/>
    <row r="525" ht="33.75" customHeight="1"/>
    <row r="526" ht="33.75" customHeight="1"/>
    <row r="527" ht="33.75" customHeight="1"/>
    <row r="528" ht="33.75" customHeight="1"/>
    <row r="529" ht="33.75" customHeight="1"/>
    <row r="530" ht="33.75" customHeight="1"/>
    <row r="531" ht="33.75" customHeight="1"/>
    <row r="532" ht="33.75" customHeight="1"/>
    <row r="533" ht="33.75" customHeight="1"/>
    <row r="534" ht="33.75" customHeight="1"/>
    <row r="535" ht="33.75" customHeight="1"/>
    <row r="536" ht="33.75" customHeight="1"/>
    <row r="537" ht="33.75" customHeight="1"/>
    <row r="538" ht="33.75" customHeight="1"/>
    <row r="539" ht="33.75" customHeight="1"/>
    <row r="540" ht="33.75" customHeight="1"/>
    <row r="541" ht="33.75" customHeight="1"/>
    <row r="542" ht="33.75" customHeight="1"/>
    <row r="543" ht="33.75" customHeight="1"/>
    <row r="544" ht="33.75" customHeight="1"/>
    <row r="545" ht="33.75" customHeight="1"/>
    <row r="546" ht="33.75" customHeight="1"/>
    <row r="547" ht="33.75" customHeight="1"/>
    <row r="548" ht="33.75" customHeight="1"/>
    <row r="549" ht="33.75" customHeight="1"/>
    <row r="550" ht="33.75" customHeight="1"/>
    <row r="551" ht="33.75" customHeight="1"/>
    <row r="552" ht="33.75" customHeight="1"/>
    <row r="553" ht="33.75" customHeight="1"/>
    <row r="554" ht="33.75" customHeight="1"/>
    <row r="555" ht="33.75" customHeight="1"/>
    <row r="556" ht="33.75" customHeight="1"/>
    <row r="557" ht="33.75" customHeight="1"/>
    <row r="558" ht="33.75" customHeight="1"/>
    <row r="559" ht="33.75" customHeight="1"/>
    <row r="560" ht="33.75" customHeight="1"/>
    <row r="561" ht="33.75" customHeight="1"/>
    <row r="562" ht="33.75" customHeight="1"/>
    <row r="563" ht="33.75" customHeight="1"/>
    <row r="564" ht="33.75" customHeight="1"/>
    <row r="565" ht="33.75" customHeight="1"/>
    <row r="566" ht="33.75" customHeight="1"/>
    <row r="567" ht="33.75" customHeight="1"/>
    <row r="568" ht="33.75" customHeight="1"/>
    <row r="569" ht="33.75" customHeight="1"/>
    <row r="570" ht="33.75" customHeight="1"/>
    <row r="571" ht="33.75" customHeight="1"/>
    <row r="572" ht="33.75" customHeight="1"/>
    <row r="573" ht="33.75" customHeight="1"/>
    <row r="574" ht="33.75" customHeight="1"/>
    <row r="575" ht="33.75" customHeight="1"/>
    <row r="576" ht="33.75" customHeight="1"/>
    <row r="577" ht="33.75" customHeight="1"/>
    <row r="578" ht="33.75" customHeight="1"/>
    <row r="579" ht="33.75" customHeight="1"/>
    <row r="580" ht="33.75" customHeight="1"/>
    <row r="581" ht="33.75" customHeight="1"/>
    <row r="582" ht="33.75" customHeight="1"/>
    <row r="583" ht="33.75" customHeight="1"/>
    <row r="584" ht="33.75" customHeight="1"/>
    <row r="585" ht="33.75" customHeight="1"/>
    <row r="586" ht="33.75" customHeight="1"/>
    <row r="587" ht="33.75" customHeight="1"/>
    <row r="588" ht="33.75" customHeight="1"/>
    <row r="589" ht="33.75" customHeight="1"/>
    <row r="590" ht="33.75" customHeight="1"/>
    <row r="591" ht="33.75" customHeight="1"/>
    <row r="592" ht="33.75" customHeight="1"/>
    <row r="593" ht="33.75" customHeight="1"/>
    <row r="594" ht="33.75" customHeight="1"/>
    <row r="595" ht="33.75" customHeight="1"/>
    <row r="596" ht="33.75" customHeight="1"/>
    <row r="597" ht="33.75" customHeight="1"/>
    <row r="598" ht="33.75" customHeight="1"/>
    <row r="599" ht="33.75" customHeight="1"/>
    <row r="600" ht="33.75" customHeight="1"/>
    <row r="601" ht="33.75" customHeight="1"/>
    <row r="602" ht="33.75" customHeight="1"/>
    <row r="603" ht="33.75" customHeight="1"/>
    <row r="604" ht="33.75" customHeight="1"/>
    <row r="605" ht="33.75" customHeight="1"/>
    <row r="606" ht="33.75" customHeight="1"/>
    <row r="607" ht="33.75" customHeight="1"/>
    <row r="608" ht="33.75" customHeight="1"/>
    <row r="609" ht="33.75" customHeight="1"/>
    <row r="610" ht="33.75" customHeight="1"/>
    <row r="611" ht="33.75" customHeight="1"/>
    <row r="612" ht="33.75" customHeight="1"/>
    <row r="613" ht="33.75" customHeight="1"/>
    <row r="614" ht="33.75" customHeight="1"/>
    <row r="615" ht="33.75" customHeight="1"/>
    <row r="616" ht="33.75" customHeight="1"/>
    <row r="617" ht="33.75" customHeight="1"/>
    <row r="618" ht="33.75" customHeight="1"/>
    <row r="619" ht="33.75" customHeight="1"/>
    <row r="620" ht="33.75" customHeight="1"/>
    <row r="621" ht="33.75" customHeight="1"/>
    <row r="622" ht="33.75" customHeight="1"/>
    <row r="623" ht="33.75" customHeight="1"/>
    <row r="624" ht="33.75" customHeight="1"/>
    <row r="625" ht="33.75" customHeight="1"/>
    <row r="626" ht="33.75" customHeight="1"/>
    <row r="627" ht="33.75" customHeight="1"/>
    <row r="628" ht="33.75" customHeight="1"/>
    <row r="629" ht="33.75" customHeight="1"/>
    <row r="630" ht="33.75" customHeight="1"/>
    <row r="631" ht="33.75" customHeight="1"/>
    <row r="632" ht="33.75" customHeight="1"/>
    <row r="633" ht="33.75" customHeight="1"/>
    <row r="634" ht="33.75" customHeight="1"/>
    <row r="635" ht="33.75" customHeight="1"/>
    <row r="636" ht="33.75" customHeight="1"/>
    <row r="637" ht="33.75" customHeight="1"/>
    <row r="638" ht="33.75" customHeight="1"/>
    <row r="639" ht="33.75" customHeight="1"/>
    <row r="640" ht="33.75" customHeight="1"/>
    <row r="641" ht="33.75" customHeight="1"/>
    <row r="642" ht="33.75" customHeight="1"/>
    <row r="643" ht="33.75" customHeight="1"/>
    <row r="644" ht="33.75" customHeight="1"/>
    <row r="645" ht="33.75" customHeight="1"/>
    <row r="646" ht="33.75" customHeight="1"/>
    <row r="647" ht="33.75" customHeight="1"/>
    <row r="648" ht="33.75" customHeight="1"/>
    <row r="649" ht="33.75" customHeight="1"/>
    <row r="650" ht="33.75" customHeight="1"/>
    <row r="651" ht="33.75" customHeight="1"/>
    <row r="652" ht="33.75" customHeight="1"/>
    <row r="653" ht="33.75" customHeight="1"/>
    <row r="654" ht="33.75" customHeight="1"/>
    <row r="655" ht="33.75" customHeight="1"/>
    <row r="656" ht="33.75" customHeight="1"/>
    <row r="657" ht="33.75" customHeight="1"/>
    <row r="658" ht="33.75" customHeight="1"/>
    <row r="659" ht="33.75" customHeight="1"/>
    <row r="660" ht="33.75" customHeight="1"/>
    <row r="661" ht="33.75" customHeight="1"/>
    <row r="662" ht="33.75" customHeight="1"/>
    <row r="663" ht="33.75" customHeight="1"/>
    <row r="664" ht="33.75" customHeight="1"/>
    <row r="665" ht="33.75" customHeight="1"/>
    <row r="666" ht="33.75" customHeight="1"/>
    <row r="667" ht="33.75" customHeight="1"/>
    <row r="668" ht="33.75" customHeight="1"/>
    <row r="669" ht="33.75" customHeight="1"/>
    <row r="670" ht="33.75" customHeight="1"/>
    <row r="671" ht="33.75" customHeight="1"/>
    <row r="672" ht="33.75" customHeight="1"/>
    <row r="673" ht="33.75" customHeight="1"/>
    <row r="674" ht="33.75" customHeight="1"/>
    <row r="675" ht="33.75" customHeight="1"/>
    <row r="676" ht="33.75" customHeight="1"/>
    <row r="677" ht="33.75" customHeight="1"/>
    <row r="678" ht="33.75" customHeight="1"/>
    <row r="679" ht="33.75" customHeight="1"/>
    <row r="680" ht="33.75" customHeight="1"/>
    <row r="681" ht="33.75" customHeight="1"/>
    <row r="682" ht="33.75" customHeight="1"/>
    <row r="683" ht="33.75" customHeight="1"/>
    <row r="684" ht="33.75" customHeight="1"/>
    <row r="685" ht="33.75" customHeight="1"/>
    <row r="686" ht="33.75" customHeight="1"/>
    <row r="687" ht="33.75" customHeight="1"/>
    <row r="688" ht="33.75" customHeight="1"/>
    <row r="689" ht="33.75" customHeight="1"/>
    <row r="690" ht="33.75" customHeight="1"/>
    <row r="691" ht="33.75" customHeight="1"/>
    <row r="692" ht="33.75" customHeight="1"/>
    <row r="693" ht="33.75" customHeight="1"/>
    <row r="694" ht="33.75" customHeight="1"/>
    <row r="695" ht="33.75" customHeight="1"/>
    <row r="696" ht="33.75" customHeight="1"/>
    <row r="697" ht="33.75" customHeight="1"/>
    <row r="698" ht="33.75" customHeight="1"/>
    <row r="699" ht="33.75" customHeight="1"/>
    <row r="700" ht="33.75" customHeight="1"/>
    <row r="701" ht="33.75" customHeight="1"/>
    <row r="702" ht="33.75" customHeight="1"/>
    <row r="703" ht="33.75" customHeight="1"/>
    <row r="704" ht="33.75" customHeight="1"/>
    <row r="705" ht="33.75" customHeight="1"/>
    <row r="706" ht="33.75" customHeight="1"/>
    <row r="707" ht="33.75" customHeight="1"/>
    <row r="708" ht="33.75" customHeight="1"/>
    <row r="709" ht="33.75" customHeight="1"/>
    <row r="710" ht="33.75" customHeight="1"/>
    <row r="711" ht="33.75" customHeight="1"/>
    <row r="712" ht="33.75" customHeight="1"/>
    <row r="713" ht="33.75" customHeight="1"/>
    <row r="714" ht="33.75" customHeight="1"/>
    <row r="715" ht="33.75" customHeight="1"/>
    <row r="716" ht="33.75" customHeight="1"/>
    <row r="717" ht="33.75" customHeight="1"/>
    <row r="718" ht="33.75" customHeight="1"/>
    <row r="719" ht="33.75" customHeight="1"/>
    <row r="720" ht="33.75" customHeight="1"/>
    <row r="721" ht="33.75" customHeight="1"/>
    <row r="722" ht="33.75" customHeight="1"/>
    <row r="723" ht="33.75" customHeight="1"/>
    <row r="724" ht="33.75" customHeight="1"/>
    <row r="725" ht="33.75" customHeight="1"/>
    <row r="726" ht="33.75" customHeight="1"/>
    <row r="727" ht="33.75" customHeight="1"/>
    <row r="728" ht="33.75" customHeight="1"/>
    <row r="729" ht="33.75" customHeight="1"/>
    <row r="730" ht="33.75" customHeight="1"/>
    <row r="731" ht="33.75" customHeight="1"/>
    <row r="732" ht="33.75" customHeight="1"/>
    <row r="733" ht="33.75" customHeight="1"/>
    <row r="734" ht="33.75" customHeight="1"/>
    <row r="735" ht="33.75" customHeight="1"/>
    <row r="736" ht="33.75" customHeight="1"/>
    <row r="737" ht="33.75" customHeight="1"/>
    <row r="738" ht="33.75" customHeight="1"/>
    <row r="739" ht="33.75" customHeight="1"/>
    <row r="740" ht="33.75" customHeight="1"/>
    <row r="741" ht="33.75" customHeight="1"/>
    <row r="742" ht="33.75" customHeight="1"/>
    <row r="743" ht="33.75" customHeight="1"/>
    <row r="744" ht="33.75" customHeight="1"/>
    <row r="745" ht="33.75" customHeight="1"/>
    <row r="746" ht="33.75" customHeight="1"/>
    <row r="747" ht="33.75" customHeight="1"/>
    <row r="748" ht="33.75" customHeight="1"/>
    <row r="749" ht="33.75" customHeight="1"/>
    <row r="750" ht="33.75" customHeight="1"/>
    <row r="751" ht="33.75" customHeight="1"/>
    <row r="752" ht="33.75" customHeight="1"/>
    <row r="753" ht="33.75" customHeight="1"/>
    <row r="754" ht="33.75" customHeight="1"/>
    <row r="755" ht="33.75" customHeight="1"/>
    <row r="756" ht="33.75" customHeight="1"/>
    <row r="757" ht="33.75" customHeight="1"/>
    <row r="758" ht="33.75" customHeight="1"/>
    <row r="759" ht="33.75" customHeight="1"/>
    <row r="760" ht="33.75" customHeight="1"/>
    <row r="761" ht="33.75" customHeight="1"/>
    <row r="762" ht="33.75" customHeight="1"/>
    <row r="763" ht="33.75" customHeight="1"/>
    <row r="764" ht="33.75" customHeight="1"/>
    <row r="765" ht="33.75" customHeight="1"/>
    <row r="766" ht="33.75" customHeight="1"/>
    <row r="767" ht="33.75" customHeight="1"/>
    <row r="768" ht="33.75" customHeight="1"/>
    <row r="769" ht="33.75" customHeight="1"/>
    <row r="770" ht="33.75" customHeight="1"/>
    <row r="771" ht="33.75" customHeight="1"/>
    <row r="772" ht="33.75" customHeight="1"/>
    <row r="773" ht="33.75" customHeight="1"/>
    <row r="774" ht="33.75" customHeight="1"/>
    <row r="775" ht="33.75" customHeight="1"/>
    <row r="776" ht="33.75" customHeight="1"/>
    <row r="777" ht="33.75" customHeight="1"/>
    <row r="778" ht="33.75" customHeight="1"/>
    <row r="779" ht="33.75" customHeight="1"/>
    <row r="780" ht="33.75" customHeight="1"/>
    <row r="781" ht="33.75" customHeight="1"/>
    <row r="782" ht="33.75" customHeight="1"/>
    <row r="783" ht="33.75" customHeight="1"/>
    <row r="784" ht="33.75" customHeight="1"/>
    <row r="785" ht="33.75" customHeight="1"/>
    <row r="786" ht="33.75" customHeight="1"/>
    <row r="787" ht="33.75" customHeight="1"/>
    <row r="788" ht="33.75" customHeight="1"/>
    <row r="789" ht="33.75" customHeight="1"/>
    <row r="790" ht="33.75" customHeight="1"/>
    <row r="791" ht="33.75" customHeight="1"/>
    <row r="792" ht="33.75" customHeight="1"/>
    <row r="793" ht="33.75" customHeight="1"/>
    <row r="794" ht="33.75" customHeight="1"/>
    <row r="795" ht="33.75" customHeight="1"/>
    <row r="796" ht="33.75" customHeight="1"/>
    <row r="797" ht="33.75" customHeight="1"/>
    <row r="798" ht="33.75" customHeight="1"/>
    <row r="799" ht="33.75" customHeight="1"/>
    <row r="800" ht="33.75" customHeight="1"/>
    <row r="801" ht="33.75" customHeight="1"/>
    <row r="802" ht="33.75" customHeight="1"/>
    <row r="803" ht="33.75" customHeight="1"/>
    <row r="804" ht="33.75" customHeight="1"/>
    <row r="805" ht="33.75" customHeight="1"/>
    <row r="806" ht="33.75" customHeight="1"/>
    <row r="807" ht="33.75" customHeight="1"/>
    <row r="808" ht="33.75" customHeight="1"/>
    <row r="809" ht="33.75" customHeight="1"/>
    <row r="810" ht="33.75" customHeight="1"/>
    <row r="811" ht="33.75" customHeight="1"/>
    <row r="812" ht="33.75" customHeight="1"/>
    <row r="813" ht="33.75" customHeight="1"/>
    <row r="814" ht="33.75" customHeight="1"/>
    <row r="815" ht="33.75" customHeight="1"/>
    <row r="816" ht="33.75" customHeight="1"/>
    <row r="817" ht="33.75" customHeight="1"/>
    <row r="818" ht="33.75" customHeight="1"/>
    <row r="819" ht="33.75" customHeight="1"/>
    <row r="820" ht="33.75" customHeight="1"/>
    <row r="821" ht="33.75" customHeight="1"/>
    <row r="822" ht="33.75" customHeight="1"/>
    <row r="823" ht="33.75" customHeight="1"/>
    <row r="824" ht="33.75" customHeight="1"/>
    <row r="825" ht="33.75" customHeight="1"/>
    <row r="826" ht="33.75" customHeight="1"/>
    <row r="827" ht="33.75" customHeight="1"/>
    <row r="828" ht="33.75" customHeight="1"/>
    <row r="829" ht="33.75" customHeight="1"/>
    <row r="830" ht="33.75" customHeight="1"/>
    <row r="831" ht="33.75" customHeight="1"/>
    <row r="832" ht="33.75" customHeight="1"/>
    <row r="833" ht="33.75" customHeight="1"/>
    <row r="834" ht="33.75" customHeight="1"/>
    <row r="835" ht="33.75" customHeight="1"/>
    <row r="836" ht="33.75" customHeight="1"/>
    <row r="837" ht="33.75" customHeight="1"/>
    <row r="838" ht="33.75" customHeight="1"/>
    <row r="839" ht="33.75" customHeight="1"/>
    <row r="840" ht="33.75" customHeight="1"/>
    <row r="841" ht="33.75" customHeight="1"/>
    <row r="842" ht="33.75" customHeight="1"/>
    <row r="843" ht="33.75" customHeight="1"/>
    <row r="844" ht="33.75" customHeight="1"/>
    <row r="845" ht="33.75" customHeight="1"/>
    <row r="846" ht="33.75" customHeight="1"/>
    <row r="847" ht="33.75" customHeight="1"/>
    <row r="848" ht="33.75" customHeight="1"/>
    <row r="849" ht="33.75" customHeight="1"/>
    <row r="850" ht="33.75" customHeight="1"/>
    <row r="851" ht="33.75" customHeight="1"/>
    <row r="852" ht="33.75" customHeight="1"/>
    <row r="853" ht="33.75" customHeight="1"/>
    <row r="854" ht="33.75" customHeight="1"/>
    <row r="855" ht="33.75" customHeight="1"/>
    <row r="856" ht="33.75" customHeight="1"/>
    <row r="857" ht="33.75" customHeight="1"/>
    <row r="858" ht="33.75" customHeight="1"/>
    <row r="859" ht="33.75" customHeight="1"/>
    <row r="860" ht="33.75" customHeight="1"/>
    <row r="861" ht="33.75" customHeight="1"/>
    <row r="862" ht="33.75" customHeight="1"/>
    <row r="863" ht="33.75" customHeight="1"/>
    <row r="864" ht="33.75" customHeight="1"/>
    <row r="865" ht="33.75" customHeight="1"/>
    <row r="866" ht="33.75" customHeight="1"/>
    <row r="867" ht="33.75" customHeight="1"/>
    <row r="868" ht="33.75" customHeight="1"/>
    <row r="869" ht="33.75" customHeight="1"/>
    <row r="870" ht="33.75" customHeight="1"/>
    <row r="871" ht="33.75" customHeight="1"/>
    <row r="872" ht="33.75" customHeight="1"/>
    <row r="873" ht="33.75" customHeight="1"/>
    <row r="874" ht="33.75" customHeight="1"/>
    <row r="875" ht="33.75" customHeight="1"/>
    <row r="876" ht="33.75" customHeight="1"/>
    <row r="877" ht="33.75" customHeight="1"/>
    <row r="878" ht="33.75" customHeight="1"/>
    <row r="879" ht="33.75" customHeight="1"/>
    <row r="880" ht="33.75" customHeight="1"/>
    <row r="881" ht="33.75" customHeight="1"/>
    <row r="882" ht="33.75" customHeight="1"/>
    <row r="883" ht="33.75" customHeight="1"/>
    <row r="884" ht="33.75" customHeight="1"/>
    <row r="885" ht="33.75" customHeight="1"/>
    <row r="886" ht="33.75" customHeight="1"/>
    <row r="887" ht="33.75" customHeight="1"/>
    <row r="888" ht="33.75" customHeight="1"/>
    <row r="889" ht="33.75" customHeight="1"/>
    <row r="890" ht="33.75" customHeight="1"/>
    <row r="891" ht="33.75" customHeight="1"/>
    <row r="892" ht="33.75" customHeight="1"/>
    <row r="893" ht="33.75" customHeight="1"/>
    <row r="894" ht="33.75" customHeight="1"/>
    <row r="895" ht="33.75" customHeight="1"/>
    <row r="896" ht="33.75" customHeight="1"/>
    <row r="897" ht="33.75" customHeight="1"/>
    <row r="898" ht="33.75" customHeight="1"/>
    <row r="899" ht="33.75" customHeight="1"/>
    <row r="900" ht="33.75" customHeight="1"/>
    <row r="901" ht="33.75" customHeight="1"/>
    <row r="902" ht="33.75" customHeight="1"/>
    <row r="903" ht="33.75" customHeight="1"/>
    <row r="904" ht="33.75" customHeight="1"/>
    <row r="905" ht="33.75" customHeight="1"/>
    <row r="906" ht="33.75" customHeight="1"/>
    <row r="907" ht="33.75" customHeight="1"/>
    <row r="908" ht="33.75" customHeight="1"/>
    <row r="909" ht="33.75" customHeight="1"/>
    <row r="910" ht="33.75" customHeight="1"/>
    <row r="911" ht="33.75" customHeight="1"/>
    <row r="912" ht="33.75" customHeight="1"/>
    <row r="913" ht="33.75" customHeight="1"/>
    <row r="914" ht="33.75" customHeight="1"/>
    <row r="915" ht="33.75" customHeight="1"/>
    <row r="916" ht="33.75" customHeight="1"/>
    <row r="917" ht="33.75" customHeight="1"/>
    <row r="918" ht="33.75" customHeight="1"/>
    <row r="919" ht="33.75" customHeight="1"/>
    <row r="920" ht="33.75" customHeight="1"/>
    <row r="921" ht="33.75" customHeight="1"/>
    <row r="922" ht="33.75" customHeight="1"/>
    <row r="923" ht="33.75" customHeight="1"/>
    <row r="924" ht="33.75" customHeight="1"/>
    <row r="925" ht="33.75" customHeight="1"/>
    <row r="926" ht="33.75" customHeight="1"/>
    <row r="927" ht="33.75" customHeight="1"/>
    <row r="928" ht="33.75" customHeight="1"/>
    <row r="929" ht="33.75" customHeight="1"/>
    <row r="930" ht="33.75" customHeight="1"/>
    <row r="931" ht="33.75" customHeight="1"/>
    <row r="932" ht="33.75" customHeight="1"/>
    <row r="933" ht="33.75" customHeight="1"/>
    <row r="934" ht="33.75" customHeight="1"/>
    <row r="935" ht="33.75" customHeight="1"/>
    <row r="936" ht="33.75" customHeight="1"/>
    <row r="937" ht="33.75" customHeight="1"/>
    <row r="938" ht="33.75" customHeight="1"/>
    <row r="939" ht="33.75" customHeight="1"/>
    <row r="940" ht="33.75" customHeight="1"/>
    <row r="941" ht="33.75" customHeight="1"/>
    <row r="942" ht="33.75" customHeight="1"/>
    <row r="943" ht="33.75" customHeight="1"/>
    <row r="944" ht="33.75" customHeight="1"/>
    <row r="945" ht="33.75" customHeight="1"/>
    <row r="946" ht="33.75" customHeight="1"/>
    <row r="947" ht="33.75" customHeight="1"/>
    <row r="948" ht="33.75" customHeight="1"/>
    <row r="949" ht="33.75" customHeight="1"/>
    <row r="950" ht="33.75" customHeight="1"/>
    <row r="951" ht="33.75" customHeight="1"/>
    <row r="952" ht="33.75" customHeight="1"/>
    <row r="953" ht="33.75" customHeight="1"/>
    <row r="954" ht="33.75" customHeight="1"/>
    <row r="955" ht="33.75" customHeight="1"/>
    <row r="956" ht="33.75" customHeight="1"/>
    <row r="957" ht="33.75" customHeight="1"/>
    <row r="958" ht="33.75" customHeight="1"/>
    <row r="959" ht="33.75" customHeight="1"/>
    <row r="960" ht="33.75" customHeight="1"/>
    <row r="961" ht="33.75" customHeight="1"/>
    <row r="962" ht="33.75" customHeight="1"/>
    <row r="963" ht="33.75" customHeight="1"/>
    <row r="964" ht="33.75" customHeight="1"/>
    <row r="965" ht="33.75" customHeight="1"/>
    <row r="966" ht="33.75" customHeight="1"/>
    <row r="967" ht="33.75" customHeight="1"/>
    <row r="968" ht="33.75" customHeight="1"/>
    <row r="969" ht="33.75" customHeight="1"/>
    <row r="970" ht="33.75" customHeight="1"/>
    <row r="971" ht="33.75" customHeight="1"/>
    <row r="972" ht="33.75" customHeight="1"/>
    <row r="973" ht="33.75" customHeight="1"/>
    <row r="974" ht="33.75" customHeight="1"/>
    <row r="975" ht="33.75" customHeight="1"/>
    <row r="976" ht="33.75" customHeight="1"/>
    <row r="977" ht="33.75" customHeight="1"/>
    <row r="978" ht="33.75" customHeight="1"/>
    <row r="979" ht="33.75" customHeight="1"/>
    <row r="980" ht="33.75" customHeight="1"/>
    <row r="981" ht="33.75" customHeight="1"/>
    <row r="982" ht="33.75" customHeight="1"/>
    <row r="983" ht="33.75" customHeight="1"/>
    <row r="984" ht="33.75" customHeight="1"/>
    <row r="985" ht="33.75" customHeight="1"/>
    <row r="986" ht="33.75" customHeight="1"/>
    <row r="987" ht="33.75" customHeight="1"/>
    <row r="988" ht="33.75" customHeight="1"/>
    <row r="989" ht="33.75" customHeight="1"/>
    <row r="990" ht="33.75" customHeight="1"/>
    <row r="991" ht="33.75" customHeight="1"/>
    <row r="992" ht="33.75" customHeight="1"/>
    <row r="993" ht="33.75" customHeight="1"/>
    <row r="994" ht="33.75" customHeight="1"/>
    <row r="995" ht="33.75" customHeight="1"/>
    <row r="996" ht="33.75" customHeight="1"/>
    <row r="997" ht="33.75" customHeight="1"/>
    <row r="998" ht="33.75" customHeight="1"/>
    <row r="999" ht="33.75" customHeight="1"/>
  </sheetData>
  <autoFilter ref="$A$1:$W$46"/>
  <hyperlinks>
    <hyperlink r:id="rId1" ref="F2"/>
    <hyperlink r:id="rId2" ref="J2"/>
    <hyperlink r:id="rId3" ref="L2"/>
    <hyperlink r:id="rId4" ref="W2"/>
    <hyperlink r:id="rId5" ref="F3"/>
    <hyperlink r:id="rId6" ref="J3"/>
    <hyperlink r:id="rId7" ref="L3"/>
    <hyperlink r:id="rId8" ref="W3"/>
    <hyperlink r:id="rId9" ref="F4"/>
    <hyperlink r:id="rId10" ref="J4"/>
    <hyperlink r:id="rId11" ref="L4"/>
    <hyperlink r:id="rId12" ref="W4"/>
    <hyperlink r:id="rId13" ref="J5"/>
    <hyperlink r:id="rId14" ref="L5"/>
    <hyperlink r:id="rId15" ref="W5"/>
    <hyperlink r:id="rId16" ref="J6"/>
    <hyperlink r:id="rId17" ref="L6"/>
    <hyperlink r:id="rId18" ref="W6"/>
    <hyperlink r:id="rId19" ref="F7"/>
    <hyperlink r:id="rId20" ref="J7"/>
    <hyperlink r:id="rId21" ref="L7"/>
    <hyperlink r:id="rId22" ref="W7"/>
    <hyperlink r:id="rId23" ref="F8"/>
    <hyperlink r:id="rId24" ref="J8"/>
    <hyperlink r:id="rId25" ref="L8"/>
    <hyperlink r:id="rId26" ref="W8"/>
    <hyperlink r:id="rId27" ref="F9"/>
    <hyperlink r:id="rId28" ref="J9"/>
    <hyperlink r:id="rId29" ref="L9"/>
    <hyperlink r:id="rId30" ref="W9"/>
    <hyperlink r:id="rId31" ref="F10"/>
    <hyperlink r:id="rId32" ref="J10"/>
    <hyperlink r:id="rId33" ref="L10"/>
    <hyperlink r:id="rId34" ref="W10"/>
    <hyperlink r:id="rId35" ref="J11"/>
    <hyperlink r:id="rId36" ref="L11"/>
    <hyperlink r:id="rId37" ref="W11"/>
    <hyperlink r:id="rId38" ref="F12"/>
    <hyperlink r:id="rId39" ref="J12"/>
    <hyperlink r:id="rId40" ref="L12"/>
    <hyperlink r:id="rId41" ref="W12"/>
    <hyperlink r:id="rId42" ref="J13"/>
    <hyperlink r:id="rId43" ref="L13"/>
    <hyperlink r:id="rId44" ref="W13"/>
    <hyperlink r:id="rId45" ref="F14"/>
    <hyperlink r:id="rId46" ref="J14"/>
    <hyperlink r:id="rId47" ref="L14"/>
    <hyperlink r:id="rId48" ref="W14"/>
    <hyperlink r:id="rId49" ref="J15"/>
    <hyperlink r:id="rId50" ref="L15"/>
    <hyperlink r:id="rId51" ref="W15"/>
    <hyperlink r:id="rId52" ref="J16"/>
    <hyperlink r:id="rId53" ref="L16"/>
    <hyperlink r:id="rId54" ref="W16"/>
    <hyperlink r:id="rId55" ref="J17"/>
    <hyperlink r:id="rId56" ref="L17"/>
    <hyperlink r:id="rId57" ref="W17"/>
    <hyperlink r:id="rId58" ref="J18"/>
    <hyperlink r:id="rId59" ref="L18"/>
    <hyperlink r:id="rId60" ref="W18"/>
    <hyperlink r:id="rId61" ref="F19"/>
    <hyperlink r:id="rId62" ref="L19"/>
    <hyperlink r:id="rId63" ref="W19"/>
    <hyperlink r:id="rId64" ref="F20"/>
    <hyperlink r:id="rId65" ref="J20"/>
    <hyperlink r:id="rId66" ref="L20"/>
    <hyperlink r:id="rId67" ref="W20"/>
    <hyperlink r:id="rId68" ref="J21"/>
    <hyperlink r:id="rId69" ref="L21"/>
    <hyperlink r:id="rId70" ref="W21"/>
    <hyperlink r:id="rId71" ref="J22"/>
    <hyperlink r:id="rId72" ref="L22"/>
    <hyperlink r:id="rId73" ref="W22"/>
    <hyperlink r:id="rId74" ref="J23"/>
    <hyperlink r:id="rId75" ref="L23"/>
    <hyperlink r:id="rId76" ref="W23"/>
    <hyperlink r:id="rId77" ref="F24"/>
    <hyperlink r:id="rId78" ref="J24"/>
    <hyperlink r:id="rId79" ref="L24"/>
    <hyperlink r:id="rId80" ref="W24"/>
    <hyperlink r:id="rId81" ref="F25"/>
    <hyperlink r:id="rId82" ref="J25"/>
    <hyperlink r:id="rId83" ref="L25"/>
    <hyperlink r:id="rId84" ref="W25"/>
    <hyperlink r:id="rId85" ref="F26"/>
    <hyperlink r:id="rId86" ref="J26"/>
    <hyperlink r:id="rId87" ref="L26"/>
    <hyperlink r:id="rId88" ref="W26"/>
    <hyperlink r:id="rId89" ref="J27"/>
    <hyperlink r:id="rId90" ref="L27"/>
    <hyperlink r:id="rId91" ref="W27"/>
    <hyperlink r:id="rId92" ref="J28"/>
    <hyperlink r:id="rId93" ref="L28"/>
    <hyperlink r:id="rId94" ref="W28"/>
    <hyperlink r:id="rId95" ref="J29"/>
    <hyperlink r:id="rId96" ref="L29"/>
    <hyperlink r:id="rId97" ref="W29"/>
    <hyperlink r:id="rId98" ref="F30"/>
    <hyperlink r:id="rId99" ref="J30"/>
    <hyperlink r:id="rId100" ref="L30"/>
    <hyperlink r:id="rId101" ref="W30"/>
    <hyperlink r:id="rId102" ref="F31"/>
    <hyperlink r:id="rId103" ref="J31"/>
    <hyperlink r:id="rId104" ref="L31"/>
    <hyperlink r:id="rId105" ref="W31"/>
    <hyperlink r:id="rId106" ref="F32"/>
    <hyperlink r:id="rId107" ref="J32"/>
    <hyperlink r:id="rId108" ref="L32"/>
    <hyperlink r:id="rId109" ref="W32"/>
    <hyperlink r:id="rId110" ref="F33"/>
    <hyperlink r:id="rId111" ref="J33"/>
    <hyperlink r:id="rId112" ref="L33"/>
    <hyperlink r:id="rId113" ref="W33"/>
    <hyperlink r:id="rId114" ref="F34"/>
    <hyperlink r:id="rId115" ref="J34"/>
    <hyperlink r:id="rId116" ref="L34"/>
    <hyperlink r:id="rId117" ref="W34"/>
    <hyperlink r:id="rId118" ref="J35"/>
    <hyperlink r:id="rId119" ref="L35"/>
    <hyperlink r:id="rId120" ref="W35"/>
    <hyperlink r:id="rId121" ref="J36"/>
    <hyperlink r:id="rId122" ref="L36"/>
    <hyperlink r:id="rId123" ref="W36"/>
    <hyperlink r:id="rId124" ref="J37"/>
    <hyperlink r:id="rId125" ref="L37"/>
    <hyperlink r:id="rId126" ref="W37"/>
    <hyperlink r:id="rId127" ref="J38"/>
    <hyperlink r:id="rId128" ref="L38"/>
    <hyperlink r:id="rId129" ref="F39"/>
    <hyperlink r:id="rId130" ref="J39"/>
    <hyperlink r:id="rId131" ref="L39"/>
    <hyperlink r:id="rId132" ref="W39"/>
    <hyperlink r:id="rId133" ref="J40"/>
    <hyperlink r:id="rId134" ref="L40"/>
    <hyperlink r:id="rId135" ref="W40"/>
    <hyperlink r:id="rId136" ref="F41"/>
    <hyperlink r:id="rId137" ref="J41"/>
    <hyperlink r:id="rId138" ref="L41"/>
    <hyperlink r:id="rId139" ref="W41"/>
    <hyperlink r:id="rId140" ref="J42"/>
    <hyperlink r:id="rId141" ref="L42"/>
    <hyperlink r:id="rId142" ref="W42"/>
    <hyperlink r:id="rId143" ref="F43"/>
    <hyperlink r:id="rId144" ref="L43"/>
    <hyperlink r:id="rId145" ref="W43"/>
    <hyperlink r:id="rId146" ref="F44"/>
    <hyperlink r:id="rId147" ref="J44"/>
    <hyperlink r:id="rId148" ref="L44"/>
    <hyperlink r:id="rId149" ref="W44"/>
    <hyperlink r:id="rId150" ref="J45"/>
    <hyperlink r:id="rId151" ref="L45"/>
    <hyperlink r:id="rId152" ref="W45"/>
    <hyperlink r:id="rId153" ref="J46"/>
    <hyperlink r:id="rId154" ref="L46"/>
    <hyperlink r:id="rId155" ref="W46"/>
    <hyperlink r:id="rId156" ref="F47"/>
    <hyperlink r:id="rId157" ref="J47"/>
    <hyperlink r:id="rId158" ref="L47"/>
    <hyperlink r:id="rId159" ref="W47"/>
    <hyperlink r:id="rId160" ref="J48"/>
    <hyperlink r:id="rId161" ref="L48"/>
    <hyperlink r:id="rId162" ref="W48"/>
  </hyperlinks>
  <drawing r:id="rId163"/>
  <tableParts count="1">
    <tablePart r:id="rId16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25.13"/>
    <col customWidth="1" min="3" max="5" width="3.88"/>
    <col customWidth="1" min="6" max="7" width="14.13"/>
    <col customWidth="1" min="8" max="8" width="33.75"/>
    <col customWidth="1" min="9" max="9" width="37.75"/>
    <col customWidth="1" min="10" max="11" width="18.13"/>
    <col customWidth="1" min="12" max="12" width="11.13"/>
    <col customWidth="1" min="13" max="14" width="10.0"/>
  </cols>
  <sheetData>
    <row r="1" ht="15.0" customHeight="1">
      <c r="A1" s="6" t="s">
        <v>3</v>
      </c>
      <c r="B1" s="6" t="s">
        <v>6</v>
      </c>
      <c r="C1" s="6" t="s">
        <v>20</v>
      </c>
      <c r="D1" s="6" t="s">
        <v>21</v>
      </c>
      <c r="E1" s="6" t="s">
        <v>28</v>
      </c>
      <c r="F1" s="8"/>
      <c r="G1" s="8" t="s">
        <v>17</v>
      </c>
      <c r="H1" s="6" t="s">
        <v>19</v>
      </c>
      <c r="I1" s="6" t="s">
        <v>33</v>
      </c>
      <c r="J1" s="6" t="s">
        <v>31</v>
      </c>
      <c r="K1" s="6" t="s">
        <v>15</v>
      </c>
      <c r="L1" s="6" t="s">
        <v>16</v>
      </c>
      <c r="M1" s="6" t="s">
        <v>14</v>
      </c>
      <c r="N1" s="6"/>
    </row>
    <row r="2" ht="15.0" customHeight="1">
      <c r="A2" s="13">
        <v>26.0</v>
      </c>
      <c r="B2" s="13" t="s">
        <v>339</v>
      </c>
      <c r="C2" s="13" t="s">
        <v>20</v>
      </c>
      <c r="D2" s="13" t="s">
        <v>21</v>
      </c>
      <c r="E2" s="13" t="s">
        <v>343</v>
      </c>
      <c r="F2" s="14" t="s">
        <v>345</v>
      </c>
      <c r="G2" s="61" t="s">
        <v>348</v>
      </c>
      <c r="H2" s="36" t="s">
        <v>349</v>
      </c>
      <c r="I2" s="16" t="s">
        <v>354</v>
      </c>
      <c r="J2" s="46" t="s">
        <v>356</v>
      </c>
      <c r="K2" s="13" t="s">
        <v>357</v>
      </c>
      <c r="L2" s="13" t="s">
        <v>358</v>
      </c>
      <c r="M2" s="13" t="s">
        <v>359</v>
      </c>
      <c r="N2" s="13"/>
    </row>
    <row r="3" ht="15.0" customHeight="1">
      <c r="A3" s="13">
        <v>31.0</v>
      </c>
      <c r="B3" s="13" t="s">
        <v>361</v>
      </c>
      <c r="C3" s="13" t="s">
        <v>20</v>
      </c>
      <c r="D3" s="13" t="s">
        <v>21</v>
      </c>
      <c r="E3" s="13" t="s">
        <v>343</v>
      </c>
      <c r="F3" s="47" t="s">
        <v>363</v>
      </c>
      <c r="G3" s="49" t="s">
        <v>365</v>
      </c>
      <c r="H3" s="53" t="s">
        <v>366</v>
      </c>
      <c r="I3" s="48" t="s">
        <v>374</v>
      </c>
      <c r="J3" s="59" t="s">
        <v>380</v>
      </c>
      <c r="K3" s="13" t="s">
        <v>383</v>
      </c>
      <c r="L3" s="13" t="s">
        <v>384</v>
      </c>
      <c r="M3" s="13" t="s">
        <v>385</v>
      </c>
      <c r="N3" s="13"/>
    </row>
    <row r="4" ht="15.0" customHeight="1">
      <c r="A4" s="13">
        <v>45.0</v>
      </c>
      <c r="B4" s="13" t="s">
        <v>387</v>
      </c>
      <c r="C4" s="13"/>
      <c r="D4" s="13" t="s">
        <v>21</v>
      </c>
      <c r="E4" s="13" t="s">
        <v>343</v>
      </c>
      <c r="F4" s="14" t="s">
        <v>388</v>
      </c>
      <c r="G4" s="101"/>
      <c r="H4" s="102" t="s">
        <v>391</v>
      </c>
      <c r="I4" s="103" t="s">
        <v>393</v>
      </c>
      <c r="J4" s="104" t="s">
        <v>393</v>
      </c>
      <c r="K4" s="105"/>
      <c r="L4" s="105"/>
      <c r="M4" s="105"/>
      <c r="N4" s="13"/>
    </row>
    <row r="5" ht="15.0" customHeight="1">
      <c r="A5" s="13">
        <v>20.0</v>
      </c>
      <c r="B5" s="13" t="s">
        <v>395</v>
      </c>
      <c r="C5" s="13" t="s">
        <v>20</v>
      </c>
      <c r="D5" s="13" t="s">
        <v>21</v>
      </c>
      <c r="E5" s="13" t="s">
        <v>343</v>
      </c>
      <c r="F5" s="47" t="s">
        <v>396</v>
      </c>
      <c r="G5" s="49" t="s">
        <v>397</v>
      </c>
      <c r="H5" s="53" t="s">
        <v>398</v>
      </c>
      <c r="I5" s="48" t="s">
        <v>402</v>
      </c>
      <c r="J5" s="59" t="s">
        <v>406</v>
      </c>
      <c r="K5" s="13" t="s">
        <v>407</v>
      </c>
      <c r="L5" s="13" t="s">
        <v>408</v>
      </c>
      <c r="M5" s="13" t="s">
        <v>385</v>
      </c>
      <c r="N5" s="13"/>
    </row>
    <row r="6" ht="15.0" customHeight="1">
      <c r="A6" s="13">
        <v>1.0</v>
      </c>
      <c r="B6" s="13" t="s">
        <v>39</v>
      </c>
      <c r="C6" s="13"/>
      <c r="D6" s="13" t="s">
        <v>21</v>
      </c>
      <c r="E6" s="13">
        <v>3.0</v>
      </c>
      <c r="F6" s="14" t="s">
        <v>40</v>
      </c>
      <c r="G6" s="61" t="s">
        <v>77</v>
      </c>
      <c r="H6" s="36" t="s">
        <v>413</v>
      </c>
      <c r="I6" s="16" t="s">
        <v>98</v>
      </c>
      <c r="J6" s="46" t="s">
        <v>80</v>
      </c>
      <c r="K6" s="13" t="s">
        <v>59</v>
      </c>
      <c r="L6" s="13" t="s">
        <v>61</v>
      </c>
      <c r="M6" s="13" t="s">
        <v>58</v>
      </c>
      <c r="N6" s="13"/>
    </row>
    <row r="7" ht="15.0" customHeight="1">
      <c r="A7" s="13">
        <v>5.0</v>
      </c>
      <c r="B7" s="13" t="s">
        <v>196</v>
      </c>
      <c r="C7" s="13" t="s">
        <v>20</v>
      </c>
      <c r="D7" s="13" t="s">
        <v>21</v>
      </c>
      <c r="E7" s="13">
        <v>3.0</v>
      </c>
      <c r="F7" s="47" t="s">
        <v>199</v>
      </c>
      <c r="G7" s="49" t="s">
        <v>212</v>
      </c>
      <c r="H7" s="67" t="s">
        <v>417</v>
      </c>
      <c r="I7" s="48" t="s">
        <v>239</v>
      </c>
      <c r="J7" s="59" t="s">
        <v>237</v>
      </c>
      <c r="K7" s="13" t="s">
        <v>208</v>
      </c>
      <c r="L7" s="13" t="s">
        <v>210</v>
      </c>
      <c r="M7" s="13" t="s">
        <v>207</v>
      </c>
      <c r="N7" s="13"/>
    </row>
    <row r="8" ht="15.0" customHeight="1">
      <c r="A8" s="13">
        <v>11.0</v>
      </c>
      <c r="B8" s="13" t="s">
        <v>372</v>
      </c>
      <c r="C8" s="13" t="s">
        <v>20</v>
      </c>
      <c r="D8" s="13" t="s">
        <v>21</v>
      </c>
      <c r="E8" s="13">
        <v>3.0</v>
      </c>
      <c r="F8" s="14" t="s">
        <v>40</v>
      </c>
      <c r="G8" s="61" t="s">
        <v>382</v>
      </c>
      <c r="H8" s="36" t="s">
        <v>428</v>
      </c>
      <c r="I8" s="16" t="s">
        <v>401</v>
      </c>
      <c r="J8" s="46" t="s">
        <v>399</v>
      </c>
      <c r="K8" s="13" t="s">
        <v>378</v>
      </c>
      <c r="L8" s="13" t="s">
        <v>379</v>
      </c>
      <c r="M8" s="13" t="s">
        <v>377</v>
      </c>
      <c r="N8" s="13"/>
    </row>
    <row r="9" ht="15.0" customHeight="1">
      <c r="A9" s="13">
        <v>13.0</v>
      </c>
      <c r="B9" s="13" t="s">
        <v>426</v>
      </c>
      <c r="C9" s="13" t="s">
        <v>20</v>
      </c>
      <c r="D9" s="13" t="s">
        <v>21</v>
      </c>
      <c r="E9" s="13">
        <v>3.0</v>
      </c>
      <c r="F9" s="47" t="s">
        <v>102</v>
      </c>
      <c r="G9" s="49" t="s">
        <v>431</v>
      </c>
      <c r="H9" s="53" t="s">
        <v>435</v>
      </c>
      <c r="I9" s="48" t="s">
        <v>438</v>
      </c>
      <c r="J9" s="59" t="s">
        <v>439</v>
      </c>
      <c r="K9" s="13" t="s">
        <v>429</v>
      </c>
      <c r="L9" s="13" t="s">
        <v>430</v>
      </c>
      <c r="M9" s="13" t="s">
        <v>310</v>
      </c>
      <c r="N9" s="13"/>
    </row>
    <row r="10" ht="15.0" customHeight="1">
      <c r="A10" s="13">
        <v>17.0</v>
      </c>
      <c r="B10" s="13" t="s">
        <v>440</v>
      </c>
      <c r="C10" s="13" t="s">
        <v>20</v>
      </c>
      <c r="D10" s="13" t="s">
        <v>21</v>
      </c>
      <c r="E10" s="13">
        <v>3.0</v>
      </c>
      <c r="F10" s="14" t="s">
        <v>102</v>
      </c>
      <c r="G10" s="61" t="s">
        <v>441</v>
      </c>
      <c r="H10" s="36" t="s">
        <v>442</v>
      </c>
      <c r="I10" s="16" t="s">
        <v>446</v>
      </c>
      <c r="J10" s="46" t="s">
        <v>452</v>
      </c>
      <c r="K10" s="13" t="s">
        <v>454</v>
      </c>
      <c r="L10" s="13" t="s">
        <v>455</v>
      </c>
      <c r="M10" s="13" t="s">
        <v>385</v>
      </c>
      <c r="N10" s="13"/>
    </row>
    <row r="11" ht="15.0" customHeight="1">
      <c r="A11" s="13">
        <v>18.0</v>
      </c>
      <c r="B11" s="13" t="s">
        <v>457</v>
      </c>
      <c r="C11" s="13" t="s">
        <v>20</v>
      </c>
      <c r="D11" s="13" t="s">
        <v>21</v>
      </c>
      <c r="E11" s="13">
        <v>3.0</v>
      </c>
      <c r="F11" s="47" t="s">
        <v>458</v>
      </c>
      <c r="G11" s="49" t="s">
        <v>459</v>
      </c>
      <c r="H11" s="53" t="s">
        <v>460</v>
      </c>
      <c r="I11" s="48" t="s">
        <v>462</v>
      </c>
      <c r="J11" s="59" t="s">
        <v>463</v>
      </c>
      <c r="K11" s="13" t="s">
        <v>465</v>
      </c>
      <c r="L11" s="13" t="s">
        <v>466</v>
      </c>
      <c r="M11" s="13" t="s">
        <v>207</v>
      </c>
      <c r="N11" s="13"/>
    </row>
    <row r="12" ht="15.0" customHeight="1">
      <c r="A12" s="13">
        <v>18.0</v>
      </c>
      <c r="B12" s="13" t="s">
        <v>468</v>
      </c>
      <c r="C12" s="13" t="s">
        <v>20</v>
      </c>
      <c r="D12" s="13" t="s">
        <v>21</v>
      </c>
      <c r="E12" s="13">
        <v>3.0</v>
      </c>
      <c r="F12" s="14" t="s">
        <v>458</v>
      </c>
      <c r="G12" s="28" t="s">
        <v>469</v>
      </c>
      <c r="H12" s="36" t="s">
        <v>470</v>
      </c>
      <c r="I12" s="16" t="s">
        <v>462</v>
      </c>
      <c r="J12" s="46"/>
      <c r="K12" s="13"/>
      <c r="L12" s="13"/>
      <c r="M12" s="13"/>
      <c r="N12" s="13"/>
    </row>
    <row r="13" ht="15.0" customHeight="1">
      <c r="A13" s="13">
        <v>19.0</v>
      </c>
      <c r="B13" s="13" t="s">
        <v>471</v>
      </c>
      <c r="C13" s="13" t="s">
        <v>20</v>
      </c>
      <c r="D13" s="13" t="s">
        <v>21</v>
      </c>
      <c r="E13" s="13">
        <v>3.0</v>
      </c>
      <c r="F13" s="47" t="s">
        <v>40</v>
      </c>
      <c r="G13" s="49" t="s">
        <v>474</v>
      </c>
      <c r="H13" s="53" t="s">
        <v>477</v>
      </c>
      <c r="I13" s="48" t="s">
        <v>499</v>
      </c>
      <c r="J13" s="59" t="s">
        <v>502</v>
      </c>
      <c r="K13" s="13" t="s">
        <v>504</v>
      </c>
      <c r="L13" s="13" t="s">
        <v>505</v>
      </c>
      <c r="M13" s="13" t="s">
        <v>506</v>
      </c>
      <c r="N13" s="13"/>
    </row>
    <row r="14" ht="15.0" customHeight="1">
      <c r="A14" s="13">
        <v>21.0</v>
      </c>
      <c r="B14" s="13" t="s">
        <v>508</v>
      </c>
      <c r="C14" s="13" t="s">
        <v>20</v>
      </c>
      <c r="D14" s="13" t="s">
        <v>21</v>
      </c>
      <c r="E14" s="13">
        <v>3.0</v>
      </c>
      <c r="F14" s="14" t="s">
        <v>511</v>
      </c>
      <c r="G14" s="61" t="s">
        <v>513</v>
      </c>
      <c r="H14" s="36" t="s">
        <v>514</v>
      </c>
      <c r="I14" s="16" t="s">
        <v>518</v>
      </c>
      <c r="J14" s="46" t="s">
        <v>520</v>
      </c>
      <c r="K14" s="13" t="s">
        <v>522</v>
      </c>
      <c r="L14" s="13" t="s">
        <v>523</v>
      </c>
      <c r="M14" s="13" t="s">
        <v>119</v>
      </c>
      <c r="N14" s="13"/>
    </row>
    <row r="15" ht="15.0" customHeight="1">
      <c r="A15" s="13">
        <v>23.0</v>
      </c>
      <c r="B15" s="13" t="s">
        <v>524</v>
      </c>
      <c r="C15" s="13"/>
      <c r="D15" s="13" t="s">
        <v>21</v>
      </c>
      <c r="E15" s="13">
        <v>3.0</v>
      </c>
      <c r="F15" s="47" t="s">
        <v>40</v>
      </c>
      <c r="G15" s="112" t="s">
        <v>525</v>
      </c>
      <c r="H15" s="53" t="s">
        <v>526</v>
      </c>
      <c r="I15" s="48" t="s">
        <v>529</v>
      </c>
      <c r="J15" s="59" t="s">
        <v>533</v>
      </c>
      <c r="K15" s="13" t="s">
        <v>534</v>
      </c>
      <c r="L15" s="13" t="s">
        <v>536</v>
      </c>
      <c r="M15" s="13" t="s">
        <v>207</v>
      </c>
      <c r="N15" s="13"/>
    </row>
    <row r="16" ht="15.0" customHeight="1">
      <c r="A16" s="13">
        <v>27.0</v>
      </c>
      <c r="B16" s="13" t="s">
        <v>537</v>
      </c>
      <c r="C16" s="13" t="s">
        <v>20</v>
      </c>
      <c r="D16" s="13" t="s">
        <v>21</v>
      </c>
      <c r="E16" s="13">
        <v>3.0</v>
      </c>
      <c r="F16" s="14" t="s">
        <v>102</v>
      </c>
      <c r="G16" s="61" t="s">
        <v>538</v>
      </c>
      <c r="H16" s="36" t="s">
        <v>539</v>
      </c>
      <c r="I16" s="16" t="s">
        <v>541</v>
      </c>
      <c r="J16" s="46" t="s">
        <v>542</v>
      </c>
      <c r="K16" s="13" t="s">
        <v>543</v>
      </c>
      <c r="L16" s="13" t="s">
        <v>544</v>
      </c>
      <c r="M16" s="13" t="s">
        <v>58</v>
      </c>
      <c r="N16" s="13"/>
    </row>
    <row r="17" ht="15.0" customHeight="1">
      <c r="A17" s="13">
        <v>29.0</v>
      </c>
      <c r="B17" s="13" t="s">
        <v>545</v>
      </c>
      <c r="C17" s="13"/>
      <c r="D17" s="13" t="s">
        <v>21</v>
      </c>
      <c r="E17" s="13">
        <v>3.0</v>
      </c>
      <c r="F17" s="47" t="s">
        <v>279</v>
      </c>
      <c r="G17" s="49" t="s">
        <v>554</v>
      </c>
      <c r="H17" s="53" t="s">
        <v>555</v>
      </c>
      <c r="I17" s="48" t="s">
        <v>560</v>
      </c>
      <c r="J17" s="59" t="s">
        <v>563</v>
      </c>
      <c r="K17" s="13" t="s">
        <v>564</v>
      </c>
      <c r="L17" s="13" t="s">
        <v>565</v>
      </c>
      <c r="M17" s="13" t="s">
        <v>506</v>
      </c>
      <c r="N17" s="13"/>
    </row>
    <row r="18" ht="15.0" customHeight="1">
      <c r="A18" s="13">
        <v>30.0</v>
      </c>
      <c r="B18" s="13" t="s">
        <v>566</v>
      </c>
      <c r="C18" s="13" t="s">
        <v>20</v>
      </c>
      <c r="D18" s="13" t="s">
        <v>21</v>
      </c>
      <c r="E18" s="13">
        <v>3.0</v>
      </c>
      <c r="F18" s="14" t="s">
        <v>458</v>
      </c>
      <c r="G18" s="61" t="s">
        <v>567</v>
      </c>
      <c r="H18" s="36" t="s">
        <v>568</v>
      </c>
      <c r="I18" s="16" t="s">
        <v>570</v>
      </c>
      <c r="J18" s="46" t="s">
        <v>571</v>
      </c>
      <c r="K18" s="13" t="s">
        <v>572</v>
      </c>
      <c r="L18" s="13" t="s">
        <v>573</v>
      </c>
      <c r="M18" s="13" t="s">
        <v>574</v>
      </c>
      <c r="N18" s="13"/>
    </row>
    <row r="19" ht="15.0" customHeight="1">
      <c r="A19" s="13">
        <v>32.0</v>
      </c>
      <c r="B19" s="13" t="s">
        <v>575</v>
      </c>
      <c r="C19" s="13" t="s">
        <v>20</v>
      </c>
      <c r="D19" s="13" t="s">
        <v>21</v>
      </c>
      <c r="E19" s="13">
        <v>3.0</v>
      </c>
      <c r="F19" s="47" t="s">
        <v>102</v>
      </c>
      <c r="G19" s="49" t="s">
        <v>576</v>
      </c>
      <c r="H19" s="53" t="s">
        <v>577</v>
      </c>
      <c r="I19" s="48" t="s">
        <v>582</v>
      </c>
      <c r="J19" s="59" t="s">
        <v>585</v>
      </c>
      <c r="K19" s="13" t="s">
        <v>587</v>
      </c>
      <c r="L19" s="13" t="s">
        <v>589</v>
      </c>
      <c r="M19" s="13" t="s">
        <v>385</v>
      </c>
      <c r="N19" s="13"/>
    </row>
    <row r="20" ht="15.0" customHeight="1">
      <c r="A20" s="13">
        <v>37.0</v>
      </c>
      <c r="B20" s="13" t="s">
        <v>590</v>
      </c>
      <c r="C20" s="13"/>
      <c r="D20" s="13" t="s">
        <v>21</v>
      </c>
      <c r="E20" s="13">
        <v>3.0</v>
      </c>
      <c r="F20" s="14" t="s">
        <v>242</v>
      </c>
      <c r="G20" s="113"/>
      <c r="H20" s="36" t="s">
        <v>591</v>
      </c>
      <c r="I20" s="16" t="s">
        <v>593</v>
      </c>
      <c r="J20" s="114" t="s">
        <v>595</v>
      </c>
      <c r="K20" s="13" t="s">
        <v>597</v>
      </c>
      <c r="L20" s="13" t="s">
        <v>598</v>
      </c>
      <c r="M20" s="13" t="s">
        <v>385</v>
      </c>
      <c r="N20" s="13"/>
    </row>
    <row r="21" ht="15.0" customHeight="1">
      <c r="A21" s="13">
        <v>43.0</v>
      </c>
      <c r="B21" s="13" t="s">
        <v>599</v>
      </c>
      <c r="C21" s="13" t="s">
        <v>20</v>
      </c>
      <c r="D21" s="13" t="s">
        <v>21</v>
      </c>
      <c r="E21" s="13">
        <v>3.0</v>
      </c>
      <c r="F21" s="47" t="s">
        <v>444</v>
      </c>
      <c r="G21" s="109" t="s">
        <v>600</v>
      </c>
      <c r="H21" s="53" t="s">
        <v>601</v>
      </c>
      <c r="I21" s="48" t="s">
        <v>602</v>
      </c>
      <c r="J21" s="86" t="s">
        <v>603</v>
      </c>
      <c r="K21" s="13" t="s">
        <v>604</v>
      </c>
      <c r="L21" s="13" t="s">
        <v>605</v>
      </c>
      <c r="M21" s="13" t="s">
        <v>574</v>
      </c>
      <c r="N21" s="13"/>
    </row>
    <row r="22" ht="15.0" customHeight="1">
      <c r="A22" s="13">
        <v>44.0</v>
      </c>
      <c r="B22" s="13" t="s">
        <v>606</v>
      </c>
      <c r="C22" s="13" t="s">
        <v>20</v>
      </c>
      <c r="D22" s="13" t="s">
        <v>21</v>
      </c>
      <c r="E22" s="13">
        <v>3.0</v>
      </c>
      <c r="F22" s="14" t="s">
        <v>444</v>
      </c>
      <c r="G22" s="89" t="s">
        <v>608</v>
      </c>
      <c r="H22" s="36" t="s">
        <v>609</v>
      </c>
      <c r="I22" s="16" t="s">
        <v>610</v>
      </c>
      <c r="J22" s="75" t="s">
        <v>613</v>
      </c>
      <c r="K22" s="13" t="s">
        <v>615</v>
      </c>
      <c r="L22" s="13" t="s">
        <v>616</v>
      </c>
      <c r="M22" s="13" t="s">
        <v>449</v>
      </c>
      <c r="N22" s="13"/>
    </row>
    <row r="23" ht="15.0" customHeight="1">
      <c r="A23" s="13">
        <v>46.0</v>
      </c>
      <c r="B23" s="115" t="s">
        <v>617</v>
      </c>
      <c r="C23" s="13" t="s">
        <v>20</v>
      </c>
      <c r="D23" s="13" t="s">
        <v>21</v>
      </c>
      <c r="E23" s="13">
        <v>3.0</v>
      </c>
      <c r="F23" s="116" t="s">
        <v>618</v>
      </c>
      <c r="G23" s="117" t="s">
        <v>619</v>
      </c>
      <c r="H23" s="118" t="s">
        <v>620</v>
      </c>
      <c r="I23" s="119"/>
      <c r="J23" s="120"/>
      <c r="K23" s="105"/>
      <c r="L23" s="105"/>
      <c r="M23" s="105"/>
      <c r="N23" s="13"/>
    </row>
    <row r="24" ht="15.0" customHeight="1">
      <c r="A24" s="13">
        <v>2.0</v>
      </c>
      <c r="B24" s="13" t="s">
        <v>101</v>
      </c>
      <c r="C24" s="13" t="s">
        <v>20</v>
      </c>
      <c r="D24" s="13" t="s">
        <v>21</v>
      </c>
      <c r="E24" s="13">
        <v>2.0</v>
      </c>
      <c r="F24" s="14" t="s">
        <v>102</v>
      </c>
      <c r="G24" s="89" t="s">
        <v>128</v>
      </c>
      <c r="H24" s="36" t="s">
        <v>624</v>
      </c>
      <c r="I24" s="16" t="s">
        <v>160</v>
      </c>
      <c r="J24" s="75" t="s">
        <v>155</v>
      </c>
      <c r="K24" s="13" t="s">
        <v>122</v>
      </c>
      <c r="L24" s="13" t="s">
        <v>125</v>
      </c>
      <c r="M24" s="13" t="s">
        <v>119</v>
      </c>
      <c r="N24" s="13"/>
    </row>
    <row r="25" ht="15.0" customHeight="1">
      <c r="A25" s="13">
        <v>4.0</v>
      </c>
      <c r="B25" s="13" t="s">
        <v>161</v>
      </c>
      <c r="C25" s="13" t="s">
        <v>20</v>
      </c>
      <c r="D25" s="13" t="s">
        <v>21</v>
      </c>
      <c r="E25" s="13">
        <v>2.0</v>
      </c>
      <c r="F25" s="47" t="s">
        <v>40</v>
      </c>
      <c r="G25" s="109" t="s">
        <v>171</v>
      </c>
      <c r="H25" s="53" t="s">
        <v>630</v>
      </c>
      <c r="I25" s="48" t="s">
        <v>194</v>
      </c>
      <c r="J25" s="86" t="s">
        <v>193</v>
      </c>
      <c r="K25" s="13" t="s">
        <v>166</v>
      </c>
      <c r="L25" s="13" t="s">
        <v>168</v>
      </c>
      <c r="M25" s="13" t="s">
        <v>165</v>
      </c>
      <c r="N25" s="13"/>
    </row>
    <row r="26" ht="15.0" customHeight="1">
      <c r="A26" s="13">
        <v>6.0</v>
      </c>
      <c r="B26" s="13" t="s">
        <v>241</v>
      </c>
      <c r="C26" s="13" t="s">
        <v>20</v>
      </c>
      <c r="D26" s="13" t="s">
        <v>21</v>
      </c>
      <c r="E26" s="13">
        <v>2.0</v>
      </c>
      <c r="F26" s="14" t="s">
        <v>242</v>
      </c>
      <c r="G26" s="71" t="s">
        <v>249</v>
      </c>
      <c r="H26" s="36" t="s">
        <v>636</v>
      </c>
      <c r="I26" s="16" t="s">
        <v>275</v>
      </c>
      <c r="J26" s="75" t="s">
        <v>272</v>
      </c>
      <c r="K26" s="13" t="s">
        <v>246</v>
      </c>
      <c r="L26" s="13" t="s">
        <v>248</v>
      </c>
      <c r="M26" s="13" t="s">
        <v>245</v>
      </c>
      <c r="N26" s="13"/>
    </row>
    <row r="27" ht="15.0" customHeight="1">
      <c r="A27" s="13">
        <v>7.0</v>
      </c>
      <c r="B27" s="13" t="s">
        <v>278</v>
      </c>
      <c r="C27" s="13" t="s">
        <v>20</v>
      </c>
      <c r="D27" s="13" t="s">
        <v>21</v>
      </c>
      <c r="E27" s="13">
        <v>2.0</v>
      </c>
      <c r="F27" s="47" t="s">
        <v>279</v>
      </c>
      <c r="G27" s="77" t="s">
        <v>289</v>
      </c>
      <c r="H27" s="53" t="s">
        <v>640</v>
      </c>
      <c r="I27" s="48" t="s">
        <v>306</v>
      </c>
      <c r="J27" s="86" t="s">
        <v>304</v>
      </c>
      <c r="K27" s="13" t="s">
        <v>285</v>
      </c>
      <c r="L27" s="13" t="s">
        <v>288</v>
      </c>
      <c r="M27" s="13" t="s">
        <v>283</v>
      </c>
      <c r="N27" s="13"/>
    </row>
    <row r="28" ht="15.0" customHeight="1">
      <c r="A28" s="13">
        <v>8.0</v>
      </c>
      <c r="B28" s="13" t="s">
        <v>309</v>
      </c>
      <c r="C28" s="13" t="s">
        <v>20</v>
      </c>
      <c r="D28" s="13" t="s">
        <v>21</v>
      </c>
      <c r="E28" s="13">
        <v>2.0</v>
      </c>
      <c r="F28" s="14" t="s">
        <v>102</v>
      </c>
      <c r="G28" s="89" t="s">
        <v>317</v>
      </c>
      <c r="H28" s="36" t="s">
        <v>647</v>
      </c>
      <c r="I28" s="16" t="s">
        <v>333</v>
      </c>
      <c r="J28" s="75" t="s">
        <v>332</v>
      </c>
      <c r="K28" s="13" t="s">
        <v>311</v>
      </c>
      <c r="L28" s="13" t="s">
        <v>313</v>
      </c>
      <c r="M28" s="13" t="s">
        <v>310</v>
      </c>
      <c r="N28" s="13"/>
    </row>
    <row r="29" ht="15.0" customHeight="1">
      <c r="A29" s="13">
        <v>9.0</v>
      </c>
      <c r="B29" s="13" t="s">
        <v>335</v>
      </c>
      <c r="C29" s="13" t="s">
        <v>20</v>
      </c>
      <c r="D29" s="13" t="s">
        <v>21</v>
      </c>
      <c r="E29" s="13">
        <v>2.0</v>
      </c>
      <c r="F29" s="47" t="s">
        <v>651</v>
      </c>
      <c r="G29" s="109" t="s">
        <v>344</v>
      </c>
      <c r="H29" s="53" t="s">
        <v>653</v>
      </c>
      <c r="I29" s="48" t="s">
        <v>369</v>
      </c>
      <c r="J29" s="86" t="s">
        <v>367</v>
      </c>
      <c r="K29" s="13" t="s">
        <v>340</v>
      </c>
      <c r="L29" s="13" t="s">
        <v>342</v>
      </c>
      <c r="M29" s="13" t="s">
        <v>338</v>
      </c>
      <c r="N29" s="13"/>
    </row>
    <row r="30" ht="15.0" customHeight="1">
      <c r="A30" s="13">
        <v>12.0</v>
      </c>
      <c r="B30" s="13" t="s">
        <v>403</v>
      </c>
      <c r="C30" s="13" t="s">
        <v>20</v>
      </c>
      <c r="D30" s="13" t="s">
        <v>21</v>
      </c>
      <c r="E30" s="13">
        <v>2.0</v>
      </c>
      <c r="F30" s="14" t="s">
        <v>404</v>
      </c>
      <c r="G30" s="89" t="s">
        <v>411</v>
      </c>
      <c r="H30" s="36" t="s">
        <v>658</v>
      </c>
      <c r="I30" s="16" t="s">
        <v>425</v>
      </c>
      <c r="J30" s="75" t="s">
        <v>424</v>
      </c>
      <c r="K30" s="13" t="s">
        <v>409</v>
      </c>
      <c r="L30" s="13" t="s">
        <v>410</v>
      </c>
      <c r="M30" s="13" t="s">
        <v>338</v>
      </c>
      <c r="N30" s="13"/>
    </row>
    <row r="31" ht="15.0" customHeight="1">
      <c r="A31" s="13">
        <v>14.0</v>
      </c>
      <c r="B31" s="105" t="s">
        <v>443</v>
      </c>
      <c r="C31" s="13" t="s">
        <v>20</v>
      </c>
      <c r="D31" s="13" t="s">
        <v>21</v>
      </c>
      <c r="E31" s="13">
        <v>2.0</v>
      </c>
      <c r="F31" s="47" t="s">
        <v>363</v>
      </c>
      <c r="G31" s="77" t="s">
        <v>453</v>
      </c>
      <c r="H31" s="53" t="s">
        <v>661</v>
      </c>
      <c r="I31" s="48" t="s">
        <v>473</v>
      </c>
      <c r="J31" s="86" t="s">
        <v>472</v>
      </c>
      <c r="K31" s="13" t="s">
        <v>450</v>
      </c>
      <c r="L31" s="13" t="s">
        <v>451</v>
      </c>
      <c r="M31" s="13" t="s">
        <v>449</v>
      </c>
      <c r="N31" s="13"/>
    </row>
    <row r="32" ht="15.0" customHeight="1">
      <c r="A32" s="13">
        <v>15.0</v>
      </c>
      <c r="B32" s="13" t="s">
        <v>476</v>
      </c>
      <c r="C32" s="13" t="s">
        <v>20</v>
      </c>
      <c r="D32" s="13" t="s">
        <v>21</v>
      </c>
      <c r="E32" s="13">
        <v>2.0</v>
      </c>
      <c r="F32" s="14" t="s">
        <v>40</v>
      </c>
      <c r="G32" s="89" t="s">
        <v>484</v>
      </c>
      <c r="H32" s="36" t="s">
        <v>668</v>
      </c>
      <c r="I32" s="16" t="s">
        <v>493</v>
      </c>
      <c r="J32" s="75" t="s">
        <v>492</v>
      </c>
      <c r="K32" s="13" t="s">
        <v>480</v>
      </c>
      <c r="L32" s="13" t="s">
        <v>482</v>
      </c>
      <c r="M32" s="13" t="s">
        <v>338</v>
      </c>
      <c r="N32" s="13"/>
    </row>
    <row r="33" ht="15.0" customHeight="1">
      <c r="A33" s="13">
        <v>24.0</v>
      </c>
      <c r="B33" s="13" t="s">
        <v>660</v>
      </c>
      <c r="C33" s="13" t="s">
        <v>20</v>
      </c>
      <c r="D33" s="13" t="s">
        <v>21</v>
      </c>
      <c r="E33" s="13">
        <v>2.0</v>
      </c>
      <c r="F33" s="47" t="s">
        <v>458</v>
      </c>
      <c r="G33" s="109" t="s">
        <v>664</v>
      </c>
      <c r="H33" s="53" t="s">
        <v>678</v>
      </c>
      <c r="I33" s="48" t="s">
        <v>676</v>
      </c>
      <c r="J33" s="86" t="s">
        <v>674</v>
      </c>
      <c r="K33" s="13" t="s">
        <v>662</v>
      </c>
      <c r="L33" s="13" t="s">
        <v>663</v>
      </c>
      <c r="M33" s="13" t="s">
        <v>165</v>
      </c>
      <c r="N33" s="13"/>
    </row>
    <row r="34" ht="15.0" customHeight="1">
      <c r="A34" s="13">
        <v>28.0</v>
      </c>
      <c r="B34" s="13" t="s">
        <v>681</v>
      </c>
      <c r="C34" s="13" t="s">
        <v>20</v>
      </c>
      <c r="D34" s="13" t="s">
        <v>21</v>
      </c>
      <c r="E34" s="13">
        <v>2.0</v>
      </c>
      <c r="F34" s="14" t="s">
        <v>199</v>
      </c>
      <c r="G34" s="89" t="s">
        <v>682</v>
      </c>
      <c r="H34" s="36" t="s">
        <v>683</v>
      </c>
      <c r="I34" s="16" t="s">
        <v>688</v>
      </c>
      <c r="J34" s="75" t="s">
        <v>690</v>
      </c>
      <c r="K34" s="13" t="s">
        <v>691</v>
      </c>
      <c r="L34" s="13" t="s">
        <v>692</v>
      </c>
      <c r="M34" s="13" t="s">
        <v>338</v>
      </c>
      <c r="N34" s="13"/>
    </row>
    <row r="35" ht="15.0" customHeight="1">
      <c r="A35" s="13">
        <v>33.0</v>
      </c>
      <c r="B35" s="13" t="s">
        <v>693</v>
      </c>
      <c r="C35" s="13" t="s">
        <v>20</v>
      </c>
      <c r="D35" s="13" t="s">
        <v>21</v>
      </c>
      <c r="E35" s="13">
        <v>2.0</v>
      </c>
      <c r="F35" s="47" t="s">
        <v>695</v>
      </c>
      <c r="G35" s="109" t="s">
        <v>696</v>
      </c>
      <c r="H35" s="53" t="s">
        <v>697</v>
      </c>
      <c r="I35" s="48" t="s">
        <v>698</v>
      </c>
      <c r="J35" s="86" t="s">
        <v>699</v>
      </c>
      <c r="K35" s="13" t="s">
        <v>700</v>
      </c>
      <c r="L35" s="13" t="s">
        <v>701</v>
      </c>
      <c r="M35" s="13" t="s">
        <v>338</v>
      </c>
      <c r="N35" s="13"/>
    </row>
    <row r="36" ht="15.0" customHeight="1">
      <c r="A36" s="13">
        <v>34.0</v>
      </c>
      <c r="B36" s="13" t="s">
        <v>702</v>
      </c>
      <c r="C36" s="13" t="s">
        <v>20</v>
      </c>
      <c r="D36" s="13" t="s">
        <v>21</v>
      </c>
      <c r="E36" s="13">
        <v>2.0</v>
      </c>
      <c r="F36" s="14" t="s">
        <v>404</v>
      </c>
      <c r="G36" s="89" t="s">
        <v>704</v>
      </c>
      <c r="H36" s="36" t="s">
        <v>705</v>
      </c>
      <c r="I36" s="16" t="s">
        <v>709</v>
      </c>
      <c r="J36" s="75" t="s">
        <v>710</v>
      </c>
      <c r="K36" s="13" t="s">
        <v>711</v>
      </c>
      <c r="L36" s="13" t="s">
        <v>712</v>
      </c>
      <c r="M36" s="13" t="s">
        <v>338</v>
      </c>
      <c r="N36" s="13"/>
    </row>
    <row r="37" ht="15.0" customHeight="1">
      <c r="A37" s="13">
        <v>35.0</v>
      </c>
      <c r="B37" s="13" t="s">
        <v>714</v>
      </c>
      <c r="C37" s="13" t="s">
        <v>20</v>
      </c>
      <c r="D37" s="13" t="s">
        <v>21</v>
      </c>
      <c r="E37" s="13">
        <v>2.0</v>
      </c>
      <c r="F37" s="47" t="s">
        <v>716</v>
      </c>
      <c r="G37" s="109" t="s">
        <v>718</v>
      </c>
      <c r="H37" s="53" t="s">
        <v>719</v>
      </c>
      <c r="I37" s="48" t="s">
        <v>723</v>
      </c>
      <c r="J37" s="86" t="s">
        <v>724</v>
      </c>
      <c r="K37" s="13" t="s">
        <v>725</v>
      </c>
      <c r="L37" s="13" t="s">
        <v>726</v>
      </c>
      <c r="M37" s="13" t="s">
        <v>338</v>
      </c>
      <c r="N37" s="13"/>
    </row>
    <row r="38" ht="15.0" customHeight="1">
      <c r="A38" s="13">
        <v>36.0</v>
      </c>
      <c r="B38" s="13" t="s">
        <v>727</v>
      </c>
      <c r="C38" s="13"/>
      <c r="D38" s="13" t="s">
        <v>21</v>
      </c>
      <c r="E38" s="13">
        <v>2.0</v>
      </c>
      <c r="F38" s="14" t="s">
        <v>40</v>
      </c>
      <c r="G38" s="71" t="s">
        <v>728</v>
      </c>
      <c r="H38" s="36" t="s">
        <v>729</v>
      </c>
      <c r="I38" s="16" t="s">
        <v>733</v>
      </c>
      <c r="J38" s="75" t="s">
        <v>736</v>
      </c>
      <c r="K38" s="13" t="s">
        <v>737</v>
      </c>
      <c r="L38" s="13" t="s">
        <v>738</v>
      </c>
      <c r="M38" s="13" t="s">
        <v>245</v>
      </c>
      <c r="N38" s="13"/>
    </row>
    <row r="39" ht="15.0" customHeight="1">
      <c r="A39" s="13">
        <v>38.0</v>
      </c>
      <c r="B39" s="13" t="s">
        <v>739</v>
      </c>
      <c r="C39" s="13"/>
      <c r="D39" s="13" t="s">
        <v>21</v>
      </c>
      <c r="E39" s="13">
        <v>2.0</v>
      </c>
      <c r="F39" s="47" t="s">
        <v>740</v>
      </c>
      <c r="G39" s="109" t="s">
        <v>742</v>
      </c>
      <c r="H39" s="53" t="s">
        <v>743</v>
      </c>
      <c r="I39" s="48" t="s">
        <v>745</v>
      </c>
      <c r="J39" s="86" t="s">
        <v>746</v>
      </c>
      <c r="K39" s="13" t="s">
        <v>747</v>
      </c>
      <c r="L39" s="13" t="s">
        <v>748</v>
      </c>
      <c r="M39" s="13" t="s">
        <v>245</v>
      </c>
      <c r="N39" s="13"/>
    </row>
    <row r="40" ht="15.0" customHeight="1">
      <c r="A40" s="13">
        <v>39.0</v>
      </c>
      <c r="B40" s="13" t="s">
        <v>749</v>
      </c>
      <c r="C40" s="13" t="s">
        <v>20</v>
      </c>
      <c r="D40" s="13" t="s">
        <v>21</v>
      </c>
      <c r="E40" s="13">
        <v>2.0</v>
      </c>
      <c r="F40" s="14" t="s">
        <v>102</v>
      </c>
      <c r="G40" s="89" t="s">
        <v>751</v>
      </c>
      <c r="H40" s="36" t="s">
        <v>752</v>
      </c>
      <c r="I40" s="16" t="s">
        <v>753</v>
      </c>
      <c r="J40" s="75" t="s">
        <v>754</v>
      </c>
      <c r="K40" s="13" t="s">
        <v>755</v>
      </c>
      <c r="L40" s="13" t="s">
        <v>756</v>
      </c>
      <c r="M40" s="13" t="s">
        <v>359</v>
      </c>
      <c r="N40" s="13"/>
    </row>
    <row r="41" ht="15.0" customHeight="1">
      <c r="A41" s="13">
        <v>40.0</v>
      </c>
      <c r="B41" s="13" t="s">
        <v>757</v>
      </c>
      <c r="C41" s="13" t="s">
        <v>20</v>
      </c>
      <c r="D41" s="13" t="s">
        <v>21</v>
      </c>
      <c r="E41" s="13">
        <v>2.0</v>
      </c>
      <c r="F41" s="47" t="s">
        <v>759</v>
      </c>
      <c r="G41" s="109" t="s">
        <v>761</v>
      </c>
      <c r="H41" s="53" t="s">
        <v>762</v>
      </c>
      <c r="I41" s="48" t="s">
        <v>765</v>
      </c>
      <c r="J41" s="86" t="s">
        <v>776</v>
      </c>
      <c r="K41" s="13" t="s">
        <v>777</v>
      </c>
      <c r="L41" s="13" t="s">
        <v>778</v>
      </c>
      <c r="M41" s="13" t="s">
        <v>385</v>
      </c>
      <c r="N41" s="13"/>
    </row>
    <row r="42" ht="15.0" customHeight="1">
      <c r="A42" s="13">
        <v>41.0</v>
      </c>
      <c r="B42" s="13" t="s">
        <v>779</v>
      </c>
      <c r="C42" s="13" t="s">
        <v>20</v>
      </c>
      <c r="D42" s="13" t="s">
        <v>21</v>
      </c>
      <c r="E42" s="13">
        <v>2.0</v>
      </c>
      <c r="F42" s="14" t="s">
        <v>279</v>
      </c>
      <c r="G42" s="89" t="s">
        <v>781</v>
      </c>
      <c r="H42" s="36" t="s">
        <v>784</v>
      </c>
      <c r="I42" s="16" t="s">
        <v>786</v>
      </c>
      <c r="J42" s="75" t="s">
        <v>789</v>
      </c>
      <c r="K42" s="13" t="s">
        <v>791</v>
      </c>
      <c r="L42" s="13" t="s">
        <v>792</v>
      </c>
      <c r="M42" s="13" t="s">
        <v>793</v>
      </c>
      <c r="N42" s="13"/>
    </row>
    <row r="43" ht="15.0" customHeight="1">
      <c r="A43" s="13">
        <v>42.0</v>
      </c>
      <c r="B43" s="13" t="s">
        <v>795</v>
      </c>
      <c r="C43" s="13" t="s">
        <v>20</v>
      </c>
      <c r="D43" s="13" t="s">
        <v>21</v>
      </c>
      <c r="E43" s="13">
        <v>2.0</v>
      </c>
      <c r="F43" s="47" t="s">
        <v>404</v>
      </c>
      <c r="G43" s="109" t="s">
        <v>799</v>
      </c>
      <c r="H43" s="53" t="s">
        <v>801</v>
      </c>
      <c r="I43" s="48" t="s">
        <v>802</v>
      </c>
      <c r="J43" s="86" t="s">
        <v>804</v>
      </c>
      <c r="K43" s="13" t="s">
        <v>806</v>
      </c>
      <c r="L43" s="13" t="s">
        <v>808</v>
      </c>
      <c r="M43" s="13" t="s">
        <v>58</v>
      </c>
      <c r="N43" s="13"/>
    </row>
    <row r="44" ht="15.0" customHeight="1">
      <c r="A44" s="13">
        <v>3.0</v>
      </c>
      <c r="B44" s="13" t="s">
        <v>809</v>
      </c>
      <c r="C44" s="123"/>
      <c r="D44" s="123"/>
      <c r="E44" s="13">
        <v>1.0</v>
      </c>
      <c r="F44" s="14" t="s">
        <v>102</v>
      </c>
      <c r="G44" s="89" t="s">
        <v>247</v>
      </c>
      <c r="H44" s="36" t="s">
        <v>812</v>
      </c>
      <c r="I44" s="16" t="s">
        <v>814</v>
      </c>
      <c r="J44" s="75" t="s">
        <v>250</v>
      </c>
      <c r="K44" s="13" t="s">
        <v>273</v>
      </c>
      <c r="L44" s="13" t="s">
        <v>816</v>
      </c>
      <c r="M44" s="13" t="s">
        <v>506</v>
      </c>
      <c r="N44" s="13"/>
    </row>
    <row r="45" ht="15.0" customHeight="1">
      <c r="A45" s="13">
        <v>10.0</v>
      </c>
      <c r="B45" s="13" t="s">
        <v>557</v>
      </c>
      <c r="C45" s="123"/>
      <c r="D45" s="123"/>
      <c r="E45" s="13">
        <v>1.0</v>
      </c>
      <c r="F45" s="47" t="s">
        <v>102</v>
      </c>
      <c r="G45" s="109" t="s">
        <v>559</v>
      </c>
      <c r="H45" s="53" t="s">
        <v>818</v>
      </c>
      <c r="I45" s="48" t="s">
        <v>819</v>
      </c>
      <c r="J45" s="86" t="s">
        <v>561</v>
      </c>
      <c r="K45" s="13" t="s">
        <v>580</v>
      </c>
      <c r="L45" s="13" t="s">
        <v>820</v>
      </c>
      <c r="M45" s="13" t="s">
        <v>821</v>
      </c>
      <c r="N45" s="13"/>
    </row>
    <row r="46" ht="15.0" customHeight="1">
      <c r="A46" s="13">
        <v>16.0</v>
      </c>
      <c r="B46" s="13" t="s">
        <v>823</v>
      </c>
      <c r="C46" s="123"/>
      <c r="D46" s="123"/>
      <c r="E46" s="13">
        <v>1.0</v>
      </c>
      <c r="F46" s="14" t="s">
        <v>40</v>
      </c>
      <c r="G46" s="124" t="s">
        <v>773</v>
      </c>
      <c r="H46" s="36" t="s">
        <v>829</v>
      </c>
      <c r="I46" s="16" t="s">
        <v>833</v>
      </c>
      <c r="J46" s="125" t="s">
        <v>774</v>
      </c>
      <c r="K46" s="13" t="s">
        <v>790</v>
      </c>
      <c r="L46" s="13" t="s">
        <v>835</v>
      </c>
      <c r="M46" s="13" t="s">
        <v>836</v>
      </c>
      <c r="N46" s="13"/>
    </row>
    <row r="47" ht="15.0" customHeight="1">
      <c r="A47" s="13">
        <v>22.0</v>
      </c>
      <c r="B47" s="13" t="s">
        <v>837</v>
      </c>
      <c r="C47" s="123"/>
      <c r="D47" s="123"/>
      <c r="E47" s="13">
        <v>1.0</v>
      </c>
      <c r="F47" s="126" t="s">
        <v>396</v>
      </c>
      <c r="G47" s="127" t="s">
        <v>838</v>
      </c>
      <c r="H47" s="128" t="s">
        <v>839</v>
      </c>
      <c r="I47" s="13" t="s">
        <v>844</v>
      </c>
      <c r="J47" s="129" t="s">
        <v>845</v>
      </c>
      <c r="K47" s="13" t="s">
        <v>846</v>
      </c>
      <c r="L47" s="13" t="s">
        <v>847</v>
      </c>
      <c r="M47" s="13" t="s">
        <v>836</v>
      </c>
      <c r="N47" s="105"/>
    </row>
    <row r="48" ht="15.0" customHeight="1">
      <c r="A48" s="13">
        <v>25.0</v>
      </c>
      <c r="B48" s="130" t="s">
        <v>849</v>
      </c>
      <c r="C48" s="123"/>
      <c r="D48" s="123"/>
      <c r="E48" s="13">
        <v>1.0</v>
      </c>
      <c r="F48" s="126" t="s">
        <v>102</v>
      </c>
      <c r="G48" s="131" t="s">
        <v>850</v>
      </c>
      <c r="H48" s="132" t="s">
        <v>851</v>
      </c>
      <c r="I48" s="13" t="s">
        <v>854</v>
      </c>
      <c r="J48" s="133" t="s">
        <v>857</v>
      </c>
      <c r="K48" s="13" t="s">
        <v>858</v>
      </c>
      <c r="L48" s="13" t="s">
        <v>859</v>
      </c>
      <c r="M48" s="13" t="s">
        <v>58</v>
      </c>
      <c r="N48" s="105"/>
    </row>
    <row r="49" ht="15.0" customHeight="1">
      <c r="A49" s="13"/>
      <c r="B49" s="115"/>
      <c r="C49" s="13"/>
      <c r="D49" s="13"/>
      <c r="E49" s="13"/>
      <c r="F49" s="134"/>
      <c r="G49" s="134"/>
      <c r="H49" s="115"/>
      <c r="I49" s="135"/>
      <c r="J49" s="13"/>
      <c r="K49" s="105"/>
      <c r="L49" s="105"/>
      <c r="M49" s="105"/>
      <c r="N49" s="105"/>
    </row>
    <row r="50" ht="15.0" customHeight="1">
      <c r="A50" s="13"/>
      <c r="B50" s="134" t="s">
        <v>860</v>
      </c>
      <c r="C50" s="13">
        <f t="shared" ref="C50:D50" si="1">COUNTA(C2:C48)</f>
        <v>35</v>
      </c>
      <c r="D50" s="13">
        <f t="shared" si="1"/>
        <v>42</v>
      </c>
      <c r="E50" s="13">
        <f>COUNTIF(E2:E48,3)+COUNTIF(E2:E48,2)+COUNTIF(E2:E48,4)</f>
        <v>38</v>
      </c>
      <c r="F50" s="134"/>
      <c r="G50" s="134"/>
      <c r="H50" s="115"/>
      <c r="I50" s="135"/>
      <c r="J50" s="13"/>
      <c r="K50" s="105"/>
      <c r="L50" s="105"/>
      <c r="M50" s="105"/>
      <c r="N50" s="105"/>
    </row>
  </sheetData>
  <autoFilter ref="$A$1:$M$48">
    <sortState ref="A1:M48">
      <sortCondition descending="1" ref="E1:E48"/>
      <sortCondition ref="A1:A48"/>
    </sortState>
  </autoFilter>
  <hyperlinks>
    <hyperlink r:id="rId1" ref="H2"/>
    <hyperlink r:id="rId2" ref="H3"/>
    <hyperlink r:id="rId3" ref="H5"/>
    <hyperlink r:id="rId4" ref="H6"/>
    <hyperlink r:id="rId5" ref="H7"/>
    <hyperlink r:id="rId6" ref="H8"/>
    <hyperlink r:id="rId7" ref="H9"/>
    <hyperlink r:id="rId8" ref="H10"/>
    <hyperlink r:id="rId9" ref="H11"/>
    <hyperlink r:id="rId10" ref="H12"/>
    <hyperlink r:id="rId11" ref="H13"/>
    <hyperlink r:id="rId12" ref="H14"/>
    <hyperlink r:id="rId13" ref="H15"/>
    <hyperlink r:id="rId14" ref="H16"/>
    <hyperlink r:id="rId15" ref="H17"/>
    <hyperlink r:id="rId16" ref="H18"/>
    <hyperlink r:id="rId17" ref="H19"/>
    <hyperlink r:id="rId18" ref="H20"/>
    <hyperlink r:id="rId19" ref="H21"/>
    <hyperlink r:id="rId20" ref="H22"/>
    <hyperlink r:id="rId21" ref="H24"/>
    <hyperlink r:id="rId22" ref="H25"/>
    <hyperlink r:id="rId23" ref="H26"/>
    <hyperlink r:id="rId24" ref="H27"/>
    <hyperlink r:id="rId25" ref="H28"/>
    <hyperlink r:id="rId26" ref="H29"/>
    <hyperlink r:id="rId27" ref="H30"/>
    <hyperlink r:id="rId28" ref="H31"/>
    <hyperlink r:id="rId29" ref="H32"/>
    <hyperlink r:id="rId30" ref="H33"/>
    <hyperlink r:id="rId31" ref="H34"/>
    <hyperlink r:id="rId32" ref="H35"/>
    <hyperlink r:id="rId33" ref="H36"/>
    <hyperlink r:id="rId34" ref="H37"/>
    <hyperlink r:id="rId35" ref="H38"/>
    <hyperlink r:id="rId36" ref="H39"/>
    <hyperlink r:id="rId37" ref="H40"/>
    <hyperlink r:id="rId38" ref="H41"/>
    <hyperlink r:id="rId39" ref="H42"/>
    <hyperlink r:id="rId40" ref="H43"/>
    <hyperlink r:id="rId41" ref="H44"/>
    <hyperlink r:id="rId42" ref="H45"/>
    <hyperlink r:id="rId43" ref="H46"/>
    <hyperlink r:id="rId44" ref="H47"/>
    <hyperlink r:id="rId45" ref="H48"/>
  </hyperlinks>
  <drawing r:id="rId46"/>
</worksheet>
</file>